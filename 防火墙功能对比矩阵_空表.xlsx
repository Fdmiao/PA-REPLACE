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写说明" sheetId="1" state="visible" r:id="rId3"/>
    <sheet name="范围基线" sheetId="2" state="visible" r:id="rId4"/>
    <sheet name="对比矩阵" sheetId="3" state="visible" r:id="rId5"/>
    <sheet name="待验证清单" sheetId="4" state="visible" r:id="rId6"/>
    <sheet name="资料登记表" sheetId="5" state="visible" r:id="rId7"/>
  </sheets>
  <definedNames>
    <definedName function="false" hidden="true" localSheetId="2" name="_xlnm._FilterDatabase" vbProcedure="false">对比矩阵!$A$3:$L$122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<sst xmlns="http://schemas.openxmlformats.org/spreadsheetml/2006/main" count="458" uniqueCount="291">
  <si>
    <t xml:space="preserve">防火墙功能对比矩阵 · 填写说明</t>
  </si>
  <si>
    <t xml:space="preserve">本工作簿是《天融信 NGFW × Palo Alto NGFW 功能对比分析》的填写底稿，配合工作流程方案使用，按六阶段流程推进：</t>
  </si>
  <si>
    <t xml:space="preserve">P0 范围界定 → 填【范围基线】表；P2 资料收集 → 登记到【资料登记表】；P3 矩阵填充 → 填【对比矩阵】；P5 功能验证 → 维护【待验证清单】。</t>
  </si>
  <si>
    <t xml:space="preserve">本期范围：功能能力（A~F、H 大类）+ 硬件与平台规格（G 大类）；性能（吞吐/并发/新建/延迟）不纳入对比。</t>
  </si>
  <si>
    <t xml:space="preserve">一、支持度五级标准（对比矩阵下拉选项）</t>
  </si>
  <si>
    <t xml:space="preserve">级别</t>
  </si>
  <si>
    <t xml:space="preserve">标记含义</t>
  </si>
  <si>
    <t xml:space="preserve">判定标准</t>
  </si>
  <si>
    <t xml:space="preserve">填写要求</t>
  </si>
  <si>
    <t xml:space="preserve">条件格式色</t>
  </si>
  <si>
    <t xml:space="preserve">完全支持</t>
  </si>
  <si>
    <t xml:space="preserve">官方文档明确支持，手册有配置方法，默认版本即可用</t>
  </si>
  <si>
    <t xml:space="preserve">填写关键参数（并发数/特征数/隧道数等规格值）</t>
  </si>
  <si>
    <t xml:space="preserve">绿色</t>
  </si>
  <si>
    <t xml:space="preserve">部分支持</t>
  </si>
  <si>
    <t xml:space="preserve">支持但有限制：仅高端型号、性能受限、场景受限</t>
  </si>
  <si>
    <t xml:space="preserve">必须注明限制条件</t>
  </si>
  <si>
    <t xml:space="preserve">黄色</t>
  </si>
  <si>
    <t xml:space="preserve">需订阅/授权</t>
  </si>
  <si>
    <t xml:space="preserve">功能存在但依赖付费订阅或单独模块授权</t>
  </si>
  <si>
    <t xml:space="preserve">注明订阅项名称与档位要求</t>
  </si>
  <si>
    <t xml:space="preserve">紫色</t>
  </si>
  <si>
    <t xml:space="preserve">不支持</t>
  </si>
  <si>
    <t xml:space="preserve">官方文档明确不支持，或全部文档无任何提及</t>
  </si>
  <si>
    <t xml:space="preserve">区分“明确不支持”与“无提及”</t>
  </si>
  <si>
    <t xml:space="preserve">红色</t>
  </si>
  <si>
    <t xml:space="preserve">待验证</t>
  </si>
  <si>
    <t xml:space="preserve">文档未明确 / 官方说法冲突 / 仅见于营销材料</t>
  </si>
  <si>
    <t xml:space="preserve">同步登记到【待验证清单】</t>
  </si>
  <si>
    <t xml:space="preserve">灰色</t>
  </si>
  <si>
    <t xml:space="preserve">二、填写纪律</t>
  </si>
  <si>
    <t xml:space="preserve">1. 逐格取证：每个支持度格子必须有证据（文档名 + 章节/页码）；查不到就选“待验证”，不猜测。</t>
  </si>
  <si>
    <t xml:space="preserve">2. 冲突处理：同厂商文档矛盾取发布日期更新者并标注；官方与第三方矛盾以官方为准。</t>
  </si>
  <si>
    <t xml:space="preserve">3. 营销话术降级：白皮书宣称支持但手册无配置方法的，降为“待验证”。</t>
  </si>
  <si>
    <t xml:space="preserve">4. 数据带时间：证据出处列写文档版本，数据日期列写 YYYY-MM-DD。</t>
  </si>
  <si>
    <t xml:space="preserve">5. 空洞率检查：空白格超过 20% 时补一轮收集，而不是带洞进入分析。</t>
  </si>
  <si>
    <t xml:space="preserve">6. 实测优先：功能验证结论与文档冲突时，以实测为准并在备注标注。</t>
  </si>
  <si>
    <t xml:space="preserve">三、填写进度（自动统计）</t>
  </si>
  <si>
    <t xml:space="preserve">统计项</t>
  </si>
  <si>
    <t xml:space="preserve">数值</t>
  </si>
  <si>
    <t xml:space="preserve">功能点总数</t>
  </si>
  <si>
    <t xml:space="preserve">已填支持度格子数</t>
  </si>
  <si>
    <t xml:space="preserve">填写进度</t>
  </si>
  <si>
    <t xml:space="preserve">待验证项数（两队合计）</t>
  </si>
  <si>
    <t xml:space="preserve">“完全支持”数量（两队合计）</t>
  </si>
  <si>
    <t xml:space="preserve">“部分支持”数量（两队合计）</t>
  </si>
  <si>
    <t xml:space="preserve">“需订阅/授权”数量（两队合计）</t>
  </si>
  <si>
    <t xml:space="preserve">“不支持”数量（两队合计）</t>
  </si>
  <si>
    <t xml:space="preserve">“待验证”数量（两队合计）</t>
  </si>
  <si>
    <t xml:space="preserve">P0 · 对比范围基线（开工前填写，锁定后不可漂移）</t>
  </si>
  <si>
    <t xml:space="preserve">基线项</t>
  </si>
  <si>
    <t xml:space="preserve">内容（在此填写）</t>
  </si>
  <si>
    <t xml:space="preserve">提示 / 示例（以官网在售为准）</t>
  </si>
  <si>
    <t xml:space="preserve">对比目的</t>
  </si>
  <si>
    <t xml:space="preserve">选型采购 / 已有设备评估 / 等保合规整改 / 技术调研</t>
  </si>
  <si>
    <t xml:space="preserve">报告读者</t>
  </si>
  <si>
    <t xml:space="preserve">管理层 / 技术团队 / 采购 / 安全部门</t>
  </si>
  <si>
    <t xml:space="preserve">天融信 · 对比型号</t>
  </si>
  <si>
    <t xml:space="preserve">示例：NGFW4000-UF、TG-A 系列；信创场景另见昆仑系列（国产 CPU + 国产操作系统）</t>
  </si>
  <si>
    <t xml:space="preserve">Palo Alto · 对比型号</t>
  </si>
  <si>
    <t xml:space="preserve">示例：PA-1410 / PA-1420 / PA-3400 / PA-5410</t>
  </si>
  <si>
    <t xml:space="preserve">天融信 · 软件版本</t>
  </si>
  <si>
    <t xml:space="preserve">填写 NGFW OS 具体版本号</t>
  </si>
  <si>
    <t xml:space="preserve">Palo Alto · PAN-OS 版本</t>
  </si>
  <si>
    <t xml:space="preserve">填写具体大版本（如 11.x），大版本间特性差异大</t>
  </si>
  <si>
    <t xml:space="preserve">天融信 · 授权/模块档位</t>
  </si>
  <si>
    <t xml:space="preserve">示例：应用识别特征库 / 病毒库 / IDP 规则库等升级服务及年限</t>
  </si>
  <si>
    <t xml:space="preserve">Palo Alto · 订阅清单</t>
  </si>
  <si>
    <t xml:space="preserve">示例：Threat Prevention / Advanced URL Filtering / WildFire / DNS Security / SD-WAN</t>
  </si>
  <si>
    <t xml:space="preserve">数据截止日期</t>
  </si>
  <si>
    <t xml:space="preserve">YYYY-MM-DD，所有证据不晚于该日期</t>
  </si>
  <si>
    <t xml:space="preserve">场景权重说明</t>
  </si>
  <si>
    <t xml:space="preserve">如政府场景：合规类权重↑；金融场景：国密类权重↑</t>
  </si>
  <si>
    <t xml:space="preserve">性能项处理</t>
  </si>
  <si>
    <t xml:space="preserve">本期不纳入对比；官方标称值仅登记于备注，标注“仅登记、不对比”</t>
  </si>
  <si>
    <t xml:space="preserve">防火墙功能对比矩阵 · 天融信 NGFW vs Palo Alto NGFW（填写底稿）</t>
  </si>
  <si>
    <t xml:space="preserve">范围：功能能力 + 硬件/平台规格。性能（吞吐/并发/新建/延迟）本期不设对比行，官方标称值如需登记请写入备注并注明“仅登记、不对比”。每个功能点：支持度从下拉选择，参数/说明与证据出处必填，查不到证据填“待验证”并登记至【待验证清单】。</t>
  </si>
  <si>
    <t xml:space="preserve">序号</t>
  </si>
  <si>
    <t xml:space="preserve">大类</t>
  </si>
  <si>
    <t xml:space="preserve">功能模块</t>
  </si>
  <si>
    <t xml:space="preserve">功能点</t>
  </si>
  <si>
    <t xml:space="preserve">天融信
支持度</t>
  </si>
  <si>
    <t xml:space="preserve">天融信
参数/说明</t>
  </si>
  <si>
    <t xml:space="preserve">Palo Alto
支持度</t>
  </si>
  <si>
    <t xml:space="preserve">Palo Alto
参数/说明</t>
  </si>
  <si>
    <t xml:space="preserve">差异说明</t>
  </si>
  <si>
    <t xml:space="preserve">证据出处
（文档+章节/页码）</t>
  </si>
  <si>
    <t xml:space="preserve">数据日期</t>
  </si>
  <si>
    <t xml:space="preserve">备注/验证编号</t>
  </si>
  <si>
    <t xml:space="preserve">A</t>
  </si>
  <si>
    <t xml:space="preserve">A · 基础防火墙能力</t>
  </si>
  <si>
    <t xml:space="preserve">引擎</t>
  </si>
  <si>
    <t xml:space="preserve">状态检测引擎</t>
  </si>
  <si>
    <t xml:space="preserve">安全策略</t>
  </si>
  <si>
    <t xml:space="preserve">基于应用的访问控制</t>
  </si>
  <si>
    <t xml:space="preserve">基于用户身份的访问控制</t>
  </si>
  <si>
    <t xml:space="preserve">内容检测与安全策略一体化（单遍架构）</t>
  </si>
  <si>
    <t xml:space="preserve">策略与对象容量</t>
  </si>
  <si>
    <t xml:space="preserve">NAT</t>
  </si>
  <si>
    <t xml:space="preserve">源 NAT（动态/PAT）</t>
  </si>
  <si>
    <t xml:space="preserve">目的 NAT（端口映射）</t>
  </si>
  <si>
    <t xml:space="preserve">静态/双向 NAT</t>
  </si>
  <si>
    <t xml:space="preserve">NAT 与安全策略解耦</t>
  </si>
  <si>
    <t xml:space="preserve">路由</t>
  </si>
  <si>
    <t xml:space="preserve">静态路由与策略路由 PBR</t>
  </si>
  <si>
    <t xml:space="preserve">OSPF</t>
  </si>
  <si>
    <t xml:space="preserve">BGP</t>
  </si>
  <si>
    <t xml:space="preserve">多虚拟路由器</t>
  </si>
  <si>
    <t xml:space="preserve">部署模式</t>
  </si>
  <si>
    <t xml:space="preserve">路由模式</t>
  </si>
  <si>
    <t xml:space="preserve">透明（桥）模式</t>
  </si>
  <si>
    <t xml:space="preserve">混合模式</t>
  </si>
  <si>
    <t xml:space="preserve">IPv6</t>
  </si>
  <si>
    <t xml:space="preserve">双栈与 IPv6 安全策略</t>
  </si>
  <si>
    <t xml:space="preserve">IPv6 过渡技术（NAT64/DNS64）</t>
  </si>
  <si>
    <t xml:space="preserve">虚拟化</t>
  </si>
  <si>
    <t xml:space="preserve">虚拟系统 VSYS 与资源配额</t>
  </si>
  <si>
    <t xml:space="preserve">二层网络</t>
  </si>
  <si>
    <t xml:space="preserve">VLAN 子接口（802.1Q）</t>
  </si>
  <si>
    <t xml:space="preserve">链路聚合 LACP</t>
  </si>
  <si>
    <t xml:space="preserve">网络服务</t>
  </si>
  <si>
    <t xml:space="preserve">DHCP Server/Relay</t>
  </si>
  <si>
    <t xml:space="preserve">组播路由</t>
  </si>
  <si>
    <t xml:space="preserve">B</t>
  </si>
  <si>
    <t xml:space="preserve">B · 应用识别与控制</t>
  </si>
  <si>
    <t xml:space="preserve">识别库</t>
  </si>
  <si>
    <t xml:space="preserve">应用识别库规模与更新频率</t>
  </si>
  <si>
    <t xml:space="preserve">识别技术</t>
  </si>
  <si>
    <t xml:space="preserve">特征/行为/协议解析/AI 识别</t>
  </si>
  <si>
    <t xml:space="preserve">自定义</t>
  </si>
  <si>
    <t xml:space="preserve">自定义应用与识别规则</t>
  </si>
  <si>
    <t xml:space="preserve">应用依赖与子应用识别</t>
  </si>
  <si>
    <t xml:space="preserve">加密流量</t>
  </si>
  <si>
    <t xml:space="preserve">不解密识别（SNI/证书/行为）</t>
  </si>
  <si>
    <t xml:space="preserve">SSL 解密</t>
  </si>
  <si>
    <t xml:space="preserve">出站解密（正向代理）</t>
  </si>
  <si>
    <t xml:space="preserve">入站解密（反向代理）</t>
  </si>
  <si>
    <t xml:space="preserve">证书管理与企业根 CA</t>
  </si>
  <si>
    <t xml:space="preserve">应用控制</t>
  </si>
  <si>
    <t xml:space="preserve">控制动作（阻断/告警/限速/重置）</t>
  </si>
  <si>
    <t xml:space="preserve">应用级 QoS 与带宽管理</t>
  </si>
  <si>
    <t xml:space="preserve">身份识别</t>
  </si>
  <si>
    <t xml:space="preserve">AD/LDAP 域集成</t>
  </si>
  <si>
    <t xml:space="preserve">SSO 与认证对接（RADIUS/Portal）</t>
  </si>
  <si>
    <t xml:space="preserve">覆盖度</t>
  </si>
  <si>
    <t xml:space="preserve">国内主流应用识别覆盖</t>
  </si>
  <si>
    <t xml:space="preserve">隧道/代理/隐蔽通道识别</t>
  </si>
  <si>
    <t xml:space="preserve">联动</t>
  </si>
  <si>
    <t xml:space="preserve">基于应用的策略与日志联动</t>
  </si>
  <si>
    <t xml:space="preserve">C</t>
  </si>
  <si>
    <t xml:space="preserve">C · 威胁防护</t>
  </si>
  <si>
    <t xml:space="preserve">IPS</t>
  </si>
  <si>
    <t xml:space="preserve">特征库规模与更新</t>
  </si>
  <si>
    <t xml:space="preserve">自定义签名/规则</t>
  </si>
  <si>
    <t xml:space="preserve">虚拟补丁（漏洞屏蔽）</t>
  </si>
  <si>
    <t xml:space="preserve">协议异常与拒绝服务行为检测</t>
  </si>
  <si>
    <t xml:space="preserve">防病毒</t>
  </si>
  <si>
    <t xml:space="preserve">文件类型覆盖</t>
  </si>
  <si>
    <t xml:space="preserve">病毒库更新机制</t>
  </si>
  <si>
    <t xml:space="preserve">沙箱</t>
  </si>
  <si>
    <t xml:space="preserve">本地沙箱/静态虚拟执行</t>
  </si>
  <si>
    <t xml:space="preserve">云沙箱联动与样本回传机制</t>
  </si>
  <si>
    <t xml:space="preserve">威胁情报</t>
  </si>
  <si>
    <t xml:space="preserve">内置/订阅情报来源</t>
  </si>
  <si>
    <t xml:space="preserve">IOC 自动阻断联动</t>
  </si>
  <si>
    <t xml:space="preserve">威胁检测</t>
  </si>
  <si>
    <t xml:space="preserve">僵尸网络/C&amp;C 通信检测</t>
  </si>
  <si>
    <t xml:space="preserve">异常行为分析（横向移动/失陷）</t>
  </si>
  <si>
    <t xml:space="preserve">高级威胁防护（APT 检测链）</t>
  </si>
  <si>
    <t xml:space="preserve">基础防护</t>
  </si>
  <si>
    <t xml:space="preserve">DDoS/DoS 基础防护</t>
  </si>
  <si>
    <t xml:space="preserve">WAF 模块（Web 攻击防护）</t>
  </si>
  <si>
    <t xml:space="preserve">DNS 安全过滤</t>
  </si>
  <si>
    <t xml:space="preserve">架构</t>
  </si>
  <si>
    <t xml:space="preserve">威胁防护与安全策略一体化程度</t>
  </si>
  <si>
    <t xml:space="preserve">生态</t>
  </si>
  <si>
    <t xml:space="preserve">与态势感知/EDR/云管端联动</t>
  </si>
  <si>
    <t xml:space="preserve">D</t>
  </si>
  <si>
    <t xml:space="preserve">D · 内容安全</t>
  </si>
  <si>
    <t xml:space="preserve">URL 过滤</t>
  </si>
  <si>
    <t xml:space="preserve">分类库规模与分类数</t>
  </si>
  <si>
    <t xml:space="preserve">自定义分类与黑白名单</t>
  </si>
  <si>
    <t xml:space="preserve">HTTPS 站点过滤</t>
  </si>
  <si>
    <t xml:space="preserve">国内站点分类准确性</t>
  </si>
  <si>
    <t xml:space="preserve">文件过滤</t>
  </si>
  <si>
    <t xml:space="preserve">类型/方向/动作控制</t>
  </si>
  <si>
    <t xml:space="preserve">DLP</t>
  </si>
  <si>
    <t xml:space="preserve">内置 DLP 能力与模板</t>
  </si>
  <si>
    <t xml:space="preserve">自定义规则（关键词/正则/指纹）</t>
  </si>
  <si>
    <t xml:space="preserve">邮件安全</t>
  </si>
  <si>
    <t xml:space="preserve">垃圾/钓鱼/附件过滤</t>
  </si>
  <si>
    <t xml:space="preserve">审计</t>
  </si>
  <si>
    <t xml:space="preserve">内容审计与日志留存</t>
  </si>
  <si>
    <t xml:space="preserve">带宽管理</t>
  </si>
  <si>
    <t xml:space="preserve">多级通道与保障策略</t>
  </si>
  <si>
    <t xml:space="preserve">E</t>
  </si>
  <si>
    <t xml:space="preserve">E · VPN</t>
  </si>
  <si>
    <t xml:space="preserve">IPSec VPN</t>
  </si>
  <si>
    <t xml:space="preserve">IKEv1/IKEv2 支持</t>
  </si>
  <si>
    <t xml:space="preserve">隧道数与组网形态（星型/网状）</t>
  </si>
  <si>
    <t xml:space="preserve">与主流第三方设备互通</t>
  </si>
  <si>
    <t xml:space="preserve">国密</t>
  </si>
  <si>
    <t xml:space="preserve">SM2/SM3/SM4 算法套件</t>
  </si>
  <si>
    <t xml:space="preserve">商用密码产品认证</t>
  </si>
  <si>
    <t xml:space="preserve">SSL VPN</t>
  </si>
  <si>
    <t xml:space="preserve">并发用户授权模式</t>
  </si>
  <si>
    <t xml:space="preserve">客户端形态（浏览器/客户端/免插件）</t>
  </si>
  <si>
    <t xml:space="preserve">认证方式（证书/短信/双因素/扫码）</t>
  </si>
  <si>
    <t xml:space="preserve">隧道检测</t>
  </si>
  <si>
    <t xml:space="preserve">VPN 隧道内内容安全检测</t>
  </si>
  <si>
    <t xml:space="preserve">隧道协议</t>
  </si>
  <si>
    <t xml:space="preserve">GRE/L2TP 等</t>
  </si>
  <si>
    <t xml:space="preserve">高可用</t>
  </si>
  <si>
    <t xml:space="preserve">隧道备份与 DPD 探测</t>
  </si>
  <si>
    <t xml:space="preserve">F</t>
  </si>
  <si>
    <t xml:space="preserve">F · 管理与运维</t>
  </si>
  <si>
    <t xml:space="preserve">集中管理</t>
  </si>
  <si>
    <t xml:space="preserve">平台产品与授权模式</t>
  </si>
  <si>
    <t xml:space="preserve">管理规模与策略模板推送</t>
  </si>
  <si>
    <t xml:space="preserve">本地管理</t>
  </si>
  <si>
    <t xml:space="preserve">Web 管理界面</t>
  </si>
  <si>
    <t xml:space="preserve">CLI 与批量配置</t>
  </si>
  <si>
    <t xml:space="preserve">权限</t>
  </si>
  <si>
    <t xml:space="preserve">管理员分级/RBAC/双管理员</t>
  </si>
  <si>
    <t xml:space="preserve">API</t>
  </si>
  <si>
    <t xml:space="preserve">开放 API（XML/REST）与自动化</t>
  </si>
  <si>
    <t xml:space="preserve">日志</t>
  </si>
  <si>
    <t xml:space="preserve">本地存储与 syslog 外发</t>
  </si>
  <si>
    <t xml:space="preserve">SIEM/大数据平台对接</t>
  </si>
  <si>
    <t xml:space="preserve">报表</t>
  </si>
  <si>
    <t xml:space="preserve">内置与定制报表</t>
  </si>
  <si>
    <t xml:space="preserve">HA</t>
  </si>
  <si>
    <t xml:space="preserve">主备/主主模式</t>
  </si>
  <si>
    <t xml:space="preserve">会话同步与切换行为</t>
  </si>
  <si>
    <t xml:space="preserve">配置管理</t>
  </si>
  <si>
    <t xml:space="preserve">版本控制与回滚</t>
  </si>
  <si>
    <t xml:space="preserve">导入导出与批量变更</t>
  </si>
  <si>
    <t xml:space="preserve">授权管理</t>
  </si>
  <si>
    <t xml:space="preserve">订阅/买断模式与到期行为</t>
  </si>
  <si>
    <t xml:space="preserve">升级</t>
  </si>
  <si>
    <t xml:space="preserve">软件与特征库升级方式</t>
  </si>
  <si>
    <t xml:space="preserve">监控对接</t>
  </si>
  <si>
    <t xml:space="preserve">SNMP/NetFlow 对接</t>
  </si>
  <si>
    <t xml:space="preserve">云管</t>
  </si>
  <si>
    <t xml:space="preserve">虚拟化与云管理支持</t>
  </si>
  <si>
    <t xml:space="preserve">G</t>
  </si>
  <si>
    <t xml:space="preserve">G · 硬件与平台规格</t>
  </si>
  <si>
    <t xml:space="preserve">产品线</t>
  </si>
  <si>
    <t xml:space="preserve">系列构成与型号梯度</t>
  </si>
  <si>
    <t xml:space="preserve">接口</t>
  </si>
  <si>
    <t xml:space="preserve">电口/光口配置</t>
  </si>
  <si>
    <t xml:space="preserve">扩展</t>
  </si>
  <si>
    <t xml:space="preserve">扩展槽位与接口模块</t>
  </si>
  <si>
    <t xml:space="preserve">电源</t>
  </si>
  <si>
    <t xml:space="preserve">冗余电源</t>
  </si>
  <si>
    <t xml:space="preserve">机箱</t>
  </si>
  <si>
    <t xml:space="preserve">规格（1U/2U）与尺寸</t>
  </si>
  <si>
    <t xml:space="preserve">管理端口</t>
  </si>
  <si>
    <t xml:space="preserve">管理口/Console/USB</t>
  </si>
  <si>
    <t xml:space="preserve">形态</t>
  </si>
  <si>
    <t xml:space="preserve">虚拟化版本（VM 镜像）</t>
  </si>
  <si>
    <t xml:space="preserve">公有云镜像/云市场</t>
  </si>
  <si>
    <t xml:space="preserve">信创</t>
  </si>
  <si>
    <t xml:space="preserve">国产 CPU/操作系统平台适配</t>
  </si>
  <si>
    <t xml:space="preserve">H</t>
  </si>
  <si>
    <t xml:space="preserve">H · 合规与生态</t>
  </si>
  <si>
    <t xml:space="preserve">资质</t>
  </si>
  <si>
    <t xml:space="preserve">销售许可证</t>
  </si>
  <si>
    <t xml:space="preserve">等级保护相关资质</t>
  </si>
  <si>
    <t xml:space="preserve">信创目录/国产化适配</t>
  </si>
  <si>
    <t xml:space="preserve">CC EAL 国际认证</t>
  </si>
  <si>
    <t xml:space="preserve">FIPS 140-2/3</t>
  </si>
  <si>
    <t xml:space="preserve">准入</t>
  </si>
  <si>
    <t xml:space="preserve">行业准入（金融/关基/运营商）</t>
  </si>
  <si>
    <t xml:space="preserve">第三方生态认证（虚拟化/云市场/联动）</t>
  </si>
  <si>
    <t xml:space="preserve">待验证清单（矩阵中标注“待验证”的项全部登记于此，P5 阶段闭环）</t>
  </si>
  <si>
    <t xml:space="preserve">编号</t>
  </si>
  <si>
    <t xml:space="preserve">关联矩阵序号</t>
  </si>
  <si>
    <t xml:space="preserve">待验证原因</t>
  </si>
  <si>
    <t xml:space="preserve">验证方式</t>
  </si>
  <si>
    <t xml:space="preserve">状态</t>
  </si>
  <si>
    <t xml:space="preserve">结果记录</t>
  </si>
  <si>
    <t xml:space="preserve">资料登记表（P2 阶段：每收集一份文档登记一行，PDF 归档并记录引用页码）</t>
  </si>
  <si>
    <t xml:space="preserve">文档名称</t>
  </si>
  <si>
    <t xml:space="preserve">厂商</t>
  </si>
  <si>
    <t xml:space="preserve">类型</t>
  </si>
  <si>
    <t xml:space="preserve">版本</t>
  </si>
  <si>
    <t xml:space="preserve">发布日期</t>
  </si>
  <si>
    <t xml:space="preserve">获取渠道</t>
  </si>
  <si>
    <t xml:space="preserve">对应大类</t>
  </si>
  <si>
    <t xml:space="preserve">登记日期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</si>
</sst>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微软雅黑"/>
      <family val="0"/>
      <charset val="1"/>
    </font>
    <font>
      <sz val="10.5"/>
      <color rgb="FF1C2733"/>
      <name val="微软雅黑"/>
      <family val="0"/>
      <charset val="1"/>
    </font>
    <font>
      <b val="true"/>
      <sz val="11.5"/>
      <color rgb="FF1F4E79"/>
      <name val="微软雅黑"/>
      <family val="0"/>
      <charset val="1"/>
    </font>
    <font>
      <b val="true"/>
      <sz val="10.5"/>
      <color rgb="FFFFFFFF"/>
      <name val="微软雅黑"/>
      <family val="0"/>
      <charset val="1"/>
    </font>
    <font>
      <b val="true"/>
      <sz val="10.5"/>
      <color rgb="FF006100"/>
      <name val="微软雅黑"/>
      <family val="0"/>
      <charset val="1"/>
    </font>
    <font>
      <b val="true"/>
      <sz val="10.5"/>
      <color rgb="FF9C6500"/>
      <name val="微软雅黑"/>
      <family val="0"/>
      <charset val="1"/>
    </font>
    <font>
      <b val="true"/>
      <sz val="10.5"/>
      <color rgb="FF7030A0"/>
      <name val="微软雅黑"/>
      <family val="0"/>
      <charset val="1"/>
    </font>
    <font>
      <b val="true"/>
      <sz val="10.5"/>
      <color rgb="FF9C0006"/>
      <name val="微软雅黑"/>
      <family val="0"/>
      <charset val="1"/>
    </font>
    <font>
      <b val="true"/>
      <sz val="10.5"/>
      <color rgb="FF404040"/>
      <name val="微软雅黑"/>
      <family val="0"/>
      <charset val="1"/>
    </font>
    <font>
      <b val="true"/>
      <sz val="10.5"/>
      <color rgb="FF1F4E79"/>
      <name val="微软雅黑"/>
      <family val="0"/>
      <charset val="1"/>
    </font>
    <font>
      <b val="true"/>
      <sz val="10.5"/>
      <color rgb="FF1C2733"/>
      <name val="微软雅黑"/>
      <family val="0"/>
      <charset val="1"/>
    </font>
    <font>
      <sz val="10"/>
      <color rgb="FF5C6B7A"/>
      <name val="微软雅黑"/>
      <family val="0"/>
      <charset val="1"/>
    </font>
    <font>
      <sz val="9.5"/>
      <color rgb="FF5C6B7A"/>
      <name val="微软雅黑"/>
      <family val="0"/>
      <charset val="1"/>
    </font>
    <font>
      <b val="true"/>
      <sz val="11"/>
      <color rgb="FF1F4E79"/>
      <name val="微软雅黑"/>
      <family val="0"/>
      <charset val="1"/>
    </font>
    <font>
      <b val="true"/>
      <sz val="12.5"/>
      <color rgb="FFFFFFFF"/>
      <name val="微软雅黑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DEE7"/>
      </patternFill>
    </fill>
    <fill>
      <patternFill patternType="solid">
        <fgColor rgb="FFFFFFFF"/>
        <bgColor rgb="FFF7F9FC"/>
      </patternFill>
    </fill>
    <fill>
      <patternFill patternType="solid">
        <fgColor rgb="FFFFEB9C"/>
        <bgColor rgb="FFFFF2CC"/>
      </patternFill>
    </fill>
    <fill>
      <patternFill patternType="solid">
        <fgColor rgb="FFF7F9FC"/>
        <bgColor rgb="FFF2F6FA"/>
      </patternFill>
    </fill>
    <fill>
      <patternFill patternType="solid">
        <fgColor rgb="FFE4DFEC"/>
        <bgColor rgb="FFD9DEE7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D9DEE7"/>
      </patternFill>
    </fill>
    <fill>
      <patternFill patternType="solid">
        <fgColor rgb="FFFFF2CC"/>
        <bgColor rgb="FFFFEB9C"/>
      </patternFill>
    </fill>
    <fill>
      <patternFill patternType="solid">
        <fgColor rgb="FFF2F6FA"/>
        <bgColor rgb="FFF7F9FC"/>
      </patternFill>
    </fill>
    <fill>
      <patternFill patternType="solid">
        <fgColor rgb="FFDDEBF7"/>
        <bgColor rgb="FFE4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273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微软雅黑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微软雅黑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微软雅黑"/>
        <charset val="1"/>
        <family val="0"/>
        <b val="1"/>
        <color rgb="FF7030A0"/>
      </font>
      <fill>
        <patternFill>
          <bgColor rgb="FFE4DFEC"/>
        </patternFill>
      </fill>
    </dxf>
    <dxf>
      <font>
        <name val="微软雅黑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微软雅黑"/>
        <charset val="1"/>
        <family val="0"/>
        <b val="1"/>
        <color rgb="FF404040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A86A13"/>
      <rgbColor rgb="FF9999FF"/>
      <rgbColor rgb="FF7030A0"/>
      <rgbColor rgb="FFFFF2CC"/>
      <rgbColor rgb="FFDDEBF7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C6EFCE"/>
      <rgbColor rgb="FFFFEB9C"/>
      <rgbColor rgb="FFE4DFEC"/>
      <rgbColor rgb="FFF7F9F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C6B7A"/>
      <rgbColor rgb="FF969696"/>
      <rgbColor rgb="FF003366"/>
      <rgbColor rgb="FF2E7D32"/>
      <rgbColor rgb="FF003300"/>
      <rgbColor rgb="FF1C2733"/>
      <rgbColor rgb="FFC2542D"/>
      <rgbColor rgb="FF6B4FA0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3.xml"/>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3.66"/>
    <col collapsed="false" customWidth="true" hidden="false" outlineLevel="0" max="2" min="2" style="0" width="14.56"/>
    <col collapsed="false" customWidth="true" hidden="false" outlineLevel="0" max="3" min="3" style="0" width="41.85"/>
    <col collapsed="false" customWidth="true" hidden="false" outlineLevel="0" max="4" min="4" style="0" width="27.3"/>
    <col collapsed="false" customWidth="true" hidden="false" outlineLevel="0" max="6" min="5" style="0" width="10.9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6.4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6.4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16.4" hidden="false" customHeight="true" outlineLevel="0" collapsed="false">
      <c r="A5" s="2" t="s">
        <v>3</v>
      </c>
      <c r="B5" s="2"/>
      <c r="C5" s="2"/>
      <c r="D5" s="2"/>
      <c r="E5" s="2"/>
      <c r="F5" s="2"/>
    </row>
    <row r="7" customFormat="false" ht="15" hidden="false" customHeight="false" outlineLevel="0" collapsed="false">
      <c r="A7" s="3" t="s">
        <v>4</v>
      </c>
    </row>
    <row r="8" customFormat="false" ht="27.75" hidden="false" customHeight="tru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customFormat="false" ht="31.3" hidden="false" customHeight="false" outlineLevel="0" collapsed="false">
      <c r="A9" s="5" t="s">
        <v>10</v>
      </c>
      <c r="B9" s="6"/>
      <c r="C9" s="6" t="s">
        <v>11</v>
      </c>
      <c r="D9" s="6" t="s">
        <v>12</v>
      </c>
      <c r="E9" s="6" t="s">
        <v>13</v>
      </c>
    </row>
    <row r="10" customFormat="false" ht="16.4" hidden="false" customHeight="false" outlineLevel="0" collapsed="false">
      <c r="A10" s="7" t="s">
        <v>14</v>
      </c>
      <c r="B10" s="8"/>
      <c r="C10" s="8" t="s">
        <v>15</v>
      </c>
      <c r="D10" s="8" t="s">
        <v>16</v>
      </c>
      <c r="E10" s="8" t="s">
        <v>17</v>
      </c>
    </row>
    <row r="11" customFormat="false" ht="16.4" hidden="false" customHeight="false" outlineLevel="0" collapsed="false">
      <c r="A11" s="9" t="s">
        <v>18</v>
      </c>
      <c r="B11" s="6"/>
      <c r="C11" s="6" t="s">
        <v>19</v>
      </c>
      <c r="D11" s="6" t="s">
        <v>20</v>
      </c>
      <c r="E11" s="6" t="s">
        <v>21</v>
      </c>
    </row>
    <row r="12" customFormat="false" ht="16.4" hidden="false" customHeight="false" outlineLevel="0" collapsed="false">
      <c r="A12" s="10" t="s">
        <v>22</v>
      </c>
      <c r="B12" s="8"/>
      <c r="C12" s="8" t="s">
        <v>23</v>
      </c>
      <c r="D12" s="8" t="s">
        <v>24</v>
      </c>
      <c r="E12" s="8" t="s">
        <v>25</v>
      </c>
    </row>
    <row r="13" customFormat="false" ht="16.4" hidden="false" customHeight="false" outlineLevel="0" collapsed="false">
      <c r="A13" s="11" t="s">
        <v>26</v>
      </c>
      <c r="B13" s="6"/>
      <c r="C13" s="6" t="s">
        <v>27</v>
      </c>
      <c r="D13" s="6" t="s">
        <v>28</v>
      </c>
      <c r="E13" s="6" t="s">
        <v>29</v>
      </c>
    </row>
    <row r="15" customFormat="false" ht="15" hidden="false" customHeight="false" outlineLevel="0" collapsed="false">
      <c r="A15" s="3" t="s">
        <v>30</v>
      </c>
    </row>
    <row r="16" customFormat="false" ht="16.4" hidden="false" customHeight="true" outlineLevel="0" collapsed="false">
      <c r="A16" s="2" t="s">
        <v>31</v>
      </c>
      <c r="B16" s="2"/>
      <c r="C16" s="2"/>
      <c r="D16" s="2"/>
      <c r="E16" s="2"/>
      <c r="F16" s="2"/>
    </row>
    <row r="17" customFormat="false" ht="16.4" hidden="false" customHeight="true" outlineLevel="0" collapsed="false">
      <c r="A17" s="2" t="s">
        <v>32</v>
      </c>
      <c r="B17" s="2"/>
      <c r="C17" s="2"/>
      <c r="D17" s="2"/>
      <c r="E17" s="2"/>
      <c r="F17" s="2"/>
    </row>
    <row r="18" customFormat="false" ht="16.4" hidden="false" customHeight="true" outlineLevel="0" collapsed="false">
      <c r="A18" s="2" t="s">
        <v>33</v>
      </c>
      <c r="B18" s="2"/>
      <c r="C18" s="2"/>
      <c r="D18" s="2"/>
      <c r="E18" s="2"/>
      <c r="F18" s="2"/>
    </row>
    <row r="19" customFormat="false" ht="16.4" hidden="false" customHeight="true" outlineLevel="0" collapsed="false">
      <c r="A19" s="2" t="s">
        <v>34</v>
      </c>
      <c r="B19" s="2"/>
      <c r="C19" s="2"/>
      <c r="D19" s="2"/>
      <c r="E19" s="2"/>
      <c r="F19" s="2"/>
    </row>
    <row r="20" customFormat="false" ht="16.4" hidden="false" customHeight="true" outlineLevel="0" collapsed="false">
      <c r="A20" s="2" t="s">
        <v>35</v>
      </c>
      <c r="B20" s="2"/>
      <c r="C20" s="2"/>
      <c r="D20" s="2"/>
      <c r="E20" s="2"/>
      <c r="F20" s="2"/>
    </row>
    <row r="21" customFormat="false" ht="16.4" hidden="false" customHeight="true" outlineLevel="0" collapsed="false">
      <c r="A21" s="2" t="s">
        <v>36</v>
      </c>
      <c r="B21" s="2"/>
      <c r="C21" s="2"/>
      <c r="D21" s="2"/>
      <c r="E21" s="2"/>
      <c r="F21" s="2"/>
    </row>
    <row r="23" customFormat="false" ht="15" hidden="false" customHeight="false" outlineLevel="0" collapsed="false">
      <c r="A23" s="3" t="s">
        <v>37</v>
      </c>
    </row>
    <row r="24" customFormat="false" ht="27.75" hidden="false" customHeight="true" outlineLevel="0" collapsed="false">
      <c r="A24" s="4" t="s">
        <v>38</v>
      </c>
      <c r="B24" s="4" t="s">
        <v>39</v>
      </c>
      <c r="C24" s="4" t="s">
        <v>38</v>
      </c>
      <c r="D24" s="4" t="s">
        <v>39</v>
      </c>
    </row>
    <row r="25" customFormat="false" ht="15" hidden="false" customHeight="false" outlineLevel="0" collapsed="false">
      <c r="A25" s="12" t="s">
        <v>40</v>
      </c>
      <c r="B25" s="13" t="n">
        <f aca="false">COUNTA(对比矩阵!$D$4:$D$122)</f>
        <v>111</v>
      </c>
      <c r="C25" s="12" t="s">
        <v>41</v>
      </c>
      <c r="D25" s="13" t="n">
        <f aca="false">COUNTA(对比矩阵!$E$4:$E$122)+COUNTA(对比矩阵!$G$4:$G$122)</f>
        <v>0</v>
      </c>
    </row>
    <row r="26" customFormat="false" ht="15" hidden="false" customHeight="false" outlineLevel="0" collapsed="false">
      <c r="A26" s="14" t="s">
        <v>42</v>
      </c>
      <c r="B26" s="15" t="str">
        <f aca="false">ROUND((COUNTA(对比矩阵!$E$4:$E$122)+COUNTA(对比矩阵!$G$4:$G$122))/(2*COUNTA(对比矩阵!$D$4:$D$122))*100,1)&amp;"%"</f>
        <v>0%</v>
      </c>
      <c r="C26" s="14" t="s">
        <v>43</v>
      </c>
      <c r="D26" s="15" t="n">
        <f aca="false">COUNTIF(对比矩阵!$E$4:$E$122,"待验证")+COUNTIF(对比矩阵!$G$4:$G$122,"待验证")</f>
        <v>0</v>
      </c>
    </row>
    <row r="27" customFormat="false" ht="15" hidden="false" customHeight="false" outlineLevel="0" collapsed="false">
      <c r="A27" s="16" t="s">
        <v>44</v>
      </c>
      <c r="B27" s="17" t="n">
        <f aca="false">COUNTIF(对比矩阵!$E$4:$E$122,"完全支持")+COUNTIF(对比矩阵!$G$4:$G$122,"完全支持")</f>
        <v>0</v>
      </c>
    </row>
    <row r="28" customFormat="false" ht="15" hidden="false" customHeight="false" outlineLevel="0" collapsed="false">
      <c r="A28" s="18" t="s">
        <v>45</v>
      </c>
      <c r="B28" s="17" t="n">
        <f aca="false">COUNTIF(对比矩阵!$E$4:$E$122,"部分支持")+COUNTIF(对比矩阵!$G$4:$G$122,"部分支持")</f>
        <v>0</v>
      </c>
    </row>
    <row r="29" customFormat="false" ht="16.4" hidden="false" customHeight="false" outlineLevel="0" collapsed="false">
      <c r="A29" s="19" t="s">
        <v>46</v>
      </c>
      <c r="B29" s="17" t="n">
        <f aca="false">COUNTIF(对比矩阵!$E$4:$E$122,"需订阅/授权")+COUNTIF(对比矩阵!$G$4:$G$122,"需订阅/授权")</f>
        <v>0</v>
      </c>
    </row>
    <row r="30" customFormat="false" ht="15" hidden="false" customHeight="false" outlineLevel="0" collapsed="false">
      <c r="A30" s="20" t="s">
        <v>47</v>
      </c>
      <c r="B30" s="17" t="n">
        <f aca="false">COUNTIF(对比矩阵!$E$4:$E$122,"不支持")+COUNTIF(对比矩阵!$G$4:$G$122,"不支持")</f>
        <v>0</v>
      </c>
    </row>
    <row r="31" customFormat="false" ht="15" hidden="false" customHeight="false" outlineLevel="0" collapsed="false">
      <c r="A31" s="21" t="s">
        <v>48</v>
      </c>
      <c r="B31" s="17" t="n">
        <f aca="false">COUNTIF(对比矩阵!$E$4:$E$122,"待验证")+COUNTIF(对比矩阵!$G$4:$G$122,"待验证")</f>
        <v>0</v>
      </c>
    </row>
  </sheetData>
  <mergeCells count="10">
    <mergeCell ref="A1:F1"/>
    <mergeCell ref="A3:F3"/>
    <mergeCell ref="A4:F4"/>
    <mergeCell ref="A5:F5"/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542D"/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3.66"/>
    <col collapsed="false" customWidth="true" hidden="false" outlineLevel="0" max="2" min="2" style="0" width="36.39"/>
    <col collapsed="false" customWidth="true" hidden="false" outlineLevel="0" max="3" min="3" style="0" width="50.95"/>
  </cols>
  <sheetData>
    <row r="1" customFormat="false" ht="30" hidden="false" customHeight="true" outlineLevel="0" collapsed="false">
      <c r="A1" s="1" t="s">
        <v>49</v>
      </c>
      <c r="B1" s="1"/>
      <c r="C1" s="1"/>
    </row>
    <row r="3" customFormat="false" ht="27.75" hidden="false" customHeight="true" outlineLevel="0" collapsed="false">
      <c r="A3" s="4" t="s">
        <v>50</v>
      </c>
      <c r="B3" s="4" t="s">
        <v>51</v>
      </c>
      <c r="C3" s="4" t="s">
        <v>52</v>
      </c>
    </row>
    <row r="4" customFormat="false" ht="25.5" hidden="false" customHeight="true" outlineLevel="0" collapsed="false">
      <c r="A4" s="22" t="s">
        <v>53</v>
      </c>
      <c r="B4" s="23"/>
      <c r="C4" s="24" t="s">
        <v>54</v>
      </c>
    </row>
    <row r="5" customFormat="false" ht="25.5" hidden="false" customHeight="true" outlineLevel="0" collapsed="false">
      <c r="A5" s="22" t="s">
        <v>55</v>
      </c>
      <c r="B5" s="23"/>
      <c r="C5" s="24" t="s">
        <v>56</v>
      </c>
    </row>
    <row r="6" customFormat="false" ht="25.5" hidden="false" customHeight="true" outlineLevel="0" collapsed="false">
      <c r="A6" s="22" t="s">
        <v>57</v>
      </c>
      <c r="B6" s="23"/>
      <c r="C6" s="24" t="s">
        <v>58</v>
      </c>
    </row>
    <row r="7" customFormat="false" ht="25.5" hidden="false" customHeight="true" outlineLevel="0" collapsed="false">
      <c r="A7" s="22" t="s">
        <v>59</v>
      </c>
      <c r="B7" s="23"/>
      <c r="C7" s="24" t="s">
        <v>60</v>
      </c>
    </row>
    <row r="8" customFormat="false" ht="25.5" hidden="false" customHeight="true" outlineLevel="0" collapsed="false">
      <c r="A8" s="22" t="s">
        <v>61</v>
      </c>
      <c r="B8" s="23"/>
      <c r="C8" s="24" t="s">
        <v>62</v>
      </c>
    </row>
    <row r="9" customFormat="false" ht="25.5" hidden="false" customHeight="true" outlineLevel="0" collapsed="false">
      <c r="A9" s="22" t="s">
        <v>63</v>
      </c>
      <c r="B9" s="23"/>
      <c r="C9" s="24" t="s">
        <v>64</v>
      </c>
    </row>
    <row r="10" customFormat="false" ht="25.5" hidden="false" customHeight="true" outlineLevel="0" collapsed="false">
      <c r="A10" s="22" t="s">
        <v>65</v>
      </c>
      <c r="B10" s="23"/>
      <c r="C10" s="24" t="s">
        <v>66</v>
      </c>
    </row>
    <row r="11" customFormat="false" ht="25.5" hidden="false" customHeight="true" outlineLevel="0" collapsed="false">
      <c r="A11" s="22" t="s">
        <v>67</v>
      </c>
      <c r="B11" s="23"/>
      <c r="C11" s="24" t="s">
        <v>68</v>
      </c>
    </row>
    <row r="12" customFormat="false" ht="25.5" hidden="false" customHeight="true" outlineLevel="0" collapsed="false">
      <c r="A12" s="22" t="s">
        <v>69</v>
      </c>
      <c r="B12" s="23"/>
      <c r="C12" s="24" t="s">
        <v>70</v>
      </c>
    </row>
    <row r="13" customFormat="false" ht="25.5" hidden="false" customHeight="true" outlineLevel="0" collapsed="false">
      <c r="A13" s="22" t="s">
        <v>71</v>
      </c>
      <c r="B13" s="23"/>
      <c r="C13" s="24" t="s">
        <v>72</v>
      </c>
    </row>
    <row r="14" customFormat="false" ht="25.5" hidden="false" customHeight="true" outlineLevel="0" collapsed="false">
      <c r="A14" s="22" t="s">
        <v>73</v>
      </c>
      <c r="B14" s="23"/>
      <c r="C14" s="24" t="s">
        <v>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L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6.37"/>
    <col collapsed="false" customWidth="true" hidden="false" outlineLevel="0" max="3" min="3" style="0" width="10.92"/>
    <col collapsed="false" customWidth="true" hidden="false" outlineLevel="0" max="4" min="4" style="0" width="30.93"/>
    <col collapsed="false" customWidth="true" hidden="false" outlineLevel="0" max="5" min="5" style="0" width="11.83"/>
    <col collapsed="false" customWidth="true" hidden="false" outlineLevel="0" max="6" min="6" style="0" width="23.66"/>
    <col collapsed="false" customWidth="true" hidden="false" outlineLevel="0" max="7" min="7" style="0" width="11.83"/>
    <col collapsed="false" customWidth="true" hidden="false" outlineLevel="0" max="8" min="8" style="0" width="23.66"/>
    <col collapsed="false" customWidth="true" hidden="false" outlineLevel="0" max="10" min="9" style="0" width="21.84"/>
    <col collapsed="false" customWidth="true" hidden="false" outlineLevel="0" max="11" min="11" style="0" width="10.01"/>
    <col collapsed="false" customWidth="true" hidden="false" outlineLevel="0" max="12" min="12" style="0" width="11.83"/>
  </cols>
  <sheetData>
    <row r="1" customFormat="false" ht="30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25" t="s">
        <v>76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customFormat="false" ht="27.75" hidden="false" customHeight="true" outlineLevel="0" collapsed="false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82</v>
      </c>
      <c r="G3" s="4" t="s">
        <v>83</v>
      </c>
      <c r="H3" s="4" t="s">
        <v>84</v>
      </c>
      <c r="I3" s="4" t="s">
        <v>85</v>
      </c>
      <c r="J3" s="4" t="s">
        <v>86</v>
      </c>
      <c r="K3" s="4" t="s">
        <v>87</v>
      </c>
      <c r="L3" s="4" t="s">
        <v>88</v>
      </c>
    </row>
    <row r="4" customFormat="false" ht="21.75" hidden="false" customHeight="true" outlineLevel="0" collapsed="false">
      <c r="A4" s="26" t="s">
        <v>89</v>
      </c>
      <c r="B4" s="27" t="s">
        <v>90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customFormat="false" ht="16.4" hidden="false" customHeight="false" outlineLevel="0" collapsed="false">
      <c r="A5" s="29" t="n">
        <v>1</v>
      </c>
      <c r="B5" s="29" t="s">
        <v>89</v>
      </c>
      <c r="C5" s="30" t="s">
        <v>91</v>
      </c>
      <c r="D5" s="30" t="s">
        <v>92</v>
      </c>
      <c r="E5" s="29"/>
      <c r="F5" s="30"/>
      <c r="G5" s="29"/>
      <c r="H5" s="30"/>
      <c r="I5" s="30"/>
      <c r="J5" s="30"/>
      <c r="K5" s="29"/>
      <c r="L5" s="30"/>
    </row>
    <row r="6" customFormat="false" ht="16.4" hidden="false" customHeight="false" outlineLevel="0" collapsed="false">
      <c r="A6" s="31" t="n">
        <v>2</v>
      </c>
      <c r="B6" s="31" t="s">
        <v>89</v>
      </c>
      <c r="C6" s="32" t="s">
        <v>93</v>
      </c>
      <c r="D6" s="32" t="s">
        <v>94</v>
      </c>
      <c r="E6" s="31"/>
      <c r="F6" s="32"/>
      <c r="G6" s="31"/>
      <c r="H6" s="32"/>
      <c r="I6" s="32"/>
      <c r="J6" s="32"/>
      <c r="K6" s="31"/>
      <c r="L6" s="32"/>
    </row>
    <row r="7" customFormat="false" ht="16.4" hidden="false" customHeight="false" outlineLevel="0" collapsed="false">
      <c r="A7" s="29" t="n">
        <v>3</v>
      </c>
      <c r="B7" s="29" t="s">
        <v>89</v>
      </c>
      <c r="C7" s="30" t="s">
        <v>93</v>
      </c>
      <c r="D7" s="30" t="s">
        <v>95</v>
      </c>
      <c r="E7" s="29"/>
      <c r="F7" s="30"/>
      <c r="G7" s="29"/>
      <c r="H7" s="30"/>
      <c r="I7" s="30"/>
      <c r="J7" s="30"/>
      <c r="K7" s="29"/>
      <c r="L7" s="30"/>
    </row>
    <row r="8" customFormat="false" ht="31.3" hidden="false" customHeight="false" outlineLevel="0" collapsed="false">
      <c r="A8" s="31" t="n">
        <v>4</v>
      </c>
      <c r="B8" s="31" t="s">
        <v>89</v>
      </c>
      <c r="C8" s="32" t="s">
        <v>93</v>
      </c>
      <c r="D8" s="32" t="s">
        <v>96</v>
      </c>
      <c r="E8" s="31"/>
      <c r="F8" s="32"/>
      <c r="G8" s="31"/>
      <c r="H8" s="32"/>
      <c r="I8" s="32"/>
      <c r="J8" s="32"/>
      <c r="K8" s="31"/>
      <c r="L8" s="32"/>
    </row>
    <row r="9" customFormat="false" ht="16.4" hidden="false" customHeight="false" outlineLevel="0" collapsed="false">
      <c r="A9" s="29" t="n">
        <v>5</v>
      </c>
      <c r="B9" s="29" t="s">
        <v>89</v>
      </c>
      <c r="C9" s="30" t="s">
        <v>93</v>
      </c>
      <c r="D9" s="30" t="s">
        <v>97</v>
      </c>
      <c r="E9" s="29"/>
      <c r="F9" s="30"/>
      <c r="G9" s="29"/>
      <c r="H9" s="30"/>
      <c r="I9" s="30"/>
      <c r="J9" s="30"/>
      <c r="K9" s="29"/>
      <c r="L9" s="30"/>
    </row>
    <row r="10" customFormat="false" ht="16.4" hidden="false" customHeight="false" outlineLevel="0" collapsed="false">
      <c r="A10" s="31" t="n">
        <v>6</v>
      </c>
      <c r="B10" s="31" t="s">
        <v>89</v>
      </c>
      <c r="C10" s="32" t="s">
        <v>98</v>
      </c>
      <c r="D10" s="32" t="s">
        <v>99</v>
      </c>
      <c r="E10" s="31"/>
      <c r="F10" s="32"/>
      <c r="G10" s="31"/>
      <c r="H10" s="32"/>
      <c r="I10" s="32"/>
      <c r="J10" s="32"/>
      <c r="K10" s="31"/>
      <c r="L10" s="32"/>
    </row>
    <row r="11" customFormat="false" ht="16.4" hidden="false" customHeight="false" outlineLevel="0" collapsed="false">
      <c r="A11" s="29" t="n">
        <v>7</v>
      </c>
      <c r="B11" s="29" t="s">
        <v>89</v>
      </c>
      <c r="C11" s="30" t="s">
        <v>98</v>
      </c>
      <c r="D11" s="30" t="s">
        <v>100</v>
      </c>
      <c r="E11" s="29"/>
      <c r="F11" s="30"/>
      <c r="G11" s="29"/>
      <c r="H11" s="30"/>
      <c r="I11" s="30"/>
      <c r="J11" s="30"/>
      <c r="K11" s="29"/>
      <c r="L11" s="30"/>
    </row>
    <row r="12" customFormat="false" ht="16.4" hidden="false" customHeight="false" outlineLevel="0" collapsed="false">
      <c r="A12" s="31" t="n">
        <v>8</v>
      </c>
      <c r="B12" s="31" t="s">
        <v>89</v>
      </c>
      <c r="C12" s="32" t="s">
        <v>98</v>
      </c>
      <c r="D12" s="32" t="s">
        <v>101</v>
      </c>
      <c r="E12" s="31"/>
      <c r="F12" s="32"/>
      <c r="G12" s="31"/>
      <c r="H12" s="32"/>
      <c r="I12" s="32"/>
      <c r="J12" s="32"/>
      <c r="K12" s="31"/>
      <c r="L12" s="32"/>
    </row>
    <row r="13" customFormat="false" ht="16.4" hidden="false" customHeight="false" outlineLevel="0" collapsed="false">
      <c r="A13" s="29" t="n">
        <v>9</v>
      </c>
      <c r="B13" s="29" t="s">
        <v>89</v>
      </c>
      <c r="C13" s="30" t="s">
        <v>98</v>
      </c>
      <c r="D13" s="30" t="s">
        <v>102</v>
      </c>
      <c r="E13" s="29"/>
      <c r="F13" s="30"/>
      <c r="G13" s="29"/>
      <c r="H13" s="30"/>
      <c r="I13" s="30"/>
      <c r="J13" s="30"/>
      <c r="K13" s="29"/>
      <c r="L13" s="30"/>
    </row>
    <row r="14" customFormat="false" ht="16.4" hidden="false" customHeight="false" outlineLevel="0" collapsed="false">
      <c r="A14" s="31" t="n">
        <v>10</v>
      </c>
      <c r="B14" s="31" t="s">
        <v>89</v>
      </c>
      <c r="C14" s="32" t="s">
        <v>103</v>
      </c>
      <c r="D14" s="32" t="s">
        <v>104</v>
      </c>
      <c r="E14" s="31"/>
      <c r="F14" s="32"/>
      <c r="G14" s="31"/>
      <c r="H14" s="32"/>
      <c r="I14" s="32"/>
      <c r="J14" s="32"/>
      <c r="K14" s="31"/>
      <c r="L14" s="32"/>
    </row>
    <row r="15" customFormat="false" ht="16.4" hidden="false" customHeight="false" outlineLevel="0" collapsed="false">
      <c r="A15" s="29" t="n">
        <v>11</v>
      </c>
      <c r="B15" s="29" t="s">
        <v>89</v>
      </c>
      <c r="C15" s="30" t="s">
        <v>103</v>
      </c>
      <c r="D15" s="30" t="s">
        <v>105</v>
      </c>
      <c r="E15" s="29"/>
      <c r="F15" s="30"/>
      <c r="G15" s="29"/>
      <c r="H15" s="30"/>
      <c r="I15" s="30"/>
      <c r="J15" s="30"/>
      <c r="K15" s="29"/>
      <c r="L15" s="30"/>
    </row>
    <row r="16" customFormat="false" ht="16.4" hidden="false" customHeight="false" outlineLevel="0" collapsed="false">
      <c r="A16" s="31" t="n">
        <v>12</v>
      </c>
      <c r="B16" s="31" t="s">
        <v>89</v>
      </c>
      <c r="C16" s="32" t="s">
        <v>103</v>
      </c>
      <c r="D16" s="32" t="s">
        <v>106</v>
      </c>
      <c r="E16" s="31"/>
      <c r="F16" s="32"/>
      <c r="G16" s="31"/>
      <c r="H16" s="32"/>
      <c r="I16" s="32"/>
      <c r="J16" s="32"/>
      <c r="K16" s="31"/>
      <c r="L16" s="32"/>
    </row>
    <row r="17" customFormat="false" ht="16.4" hidden="false" customHeight="false" outlineLevel="0" collapsed="false">
      <c r="A17" s="29" t="n">
        <v>13</v>
      </c>
      <c r="B17" s="29" t="s">
        <v>89</v>
      </c>
      <c r="C17" s="30" t="s">
        <v>103</v>
      </c>
      <c r="D17" s="30" t="s">
        <v>107</v>
      </c>
      <c r="E17" s="29"/>
      <c r="F17" s="30"/>
      <c r="G17" s="29"/>
      <c r="H17" s="30"/>
      <c r="I17" s="30"/>
      <c r="J17" s="30"/>
      <c r="K17" s="29"/>
      <c r="L17" s="30"/>
    </row>
    <row r="18" customFormat="false" ht="16.4" hidden="false" customHeight="false" outlineLevel="0" collapsed="false">
      <c r="A18" s="31" t="n">
        <v>14</v>
      </c>
      <c r="B18" s="31" t="s">
        <v>89</v>
      </c>
      <c r="C18" s="32" t="s">
        <v>108</v>
      </c>
      <c r="D18" s="32" t="s">
        <v>109</v>
      </c>
      <c r="E18" s="31"/>
      <c r="F18" s="32"/>
      <c r="G18" s="31"/>
      <c r="H18" s="32"/>
      <c r="I18" s="32"/>
      <c r="J18" s="32"/>
      <c r="K18" s="31"/>
      <c r="L18" s="32"/>
    </row>
    <row r="19" customFormat="false" ht="16.4" hidden="false" customHeight="false" outlineLevel="0" collapsed="false">
      <c r="A19" s="29" t="n">
        <v>15</v>
      </c>
      <c r="B19" s="29" t="s">
        <v>89</v>
      </c>
      <c r="C19" s="30" t="s">
        <v>108</v>
      </c>
      <c r="D19" s="30" t="s">
        <v>110</v>
      </c>
      <c r="E19" s="29"/>
      <c r="F19" s="30"/>
      <c r="G19" s="29"/>
      <c r="H19" s="30"/>
      <c r="I19" s="30"/>
      <c r="J19" s="30"/>
      <c r="K19" s="29"/>
      <c r="L19" s="30"/>
    </row>
    <row r="20" customFormat="false" ht="16.4" hidden="false" customHeight="false" outlineLevel="0" collapsed="false">
      <c r="A20" s="31" t="n">
        <v>16</v>
      </c>
      <c r="B20" s="31" t="s">
        <v>89</v>
      </c>
      <c r="C20" s="32" t="s">
        <v>108</v>
      </c>
      <c r="D20" s="32" t="s">
        <v>111</v>
      </c>
      <c r="E20" s="31"/>
      <c r="F20" s="32"/>
      <c r="G20" s="31"/>
      <c r="H20" s="32"/>
      <c r="I20" s="32"/>
      <c r="J20" s="32"/>
      <c r="K20" s="31"/>
      <c r="L20" s="32"/>
    </row>
    <row r="21" customFormat="false" ht="16.4" hidden="false" customHeight="false" outlineLevel="0" collapsed="false">
      <c r="A21" s="29" t="n">
        <v>17</v>
      </c>
      <c r="B21" s="29" t="s">
        <v>89</v>
      </c>
      <c r="C21" s="30" t="s">
        <v>112</v>
      </c>
      <c r="D21" s="30" t="s">
        <v>113</v>
      </c>
      <c r="E21" s="29"/>
      <c r="F21" s="30"/>
      <c r="G21" s="29"/>
      <c r="H21" s="30"/>
      <c r="I21" s="30"/>
      <c r="J21" s="30"/>
      <c r="K21" s="29"/>
      <c r="L21" s="30"/>
    </row>
    <row r="22" customFormat="false" ht="16.4" hidden="false" customHeight="false" outlineLevel="0" collapsed="false">
      <c r="A22" s="31" t="n">
        <v>18</v>
      </c>
      <c r="B22" s="31" t="s">
        <v>89</v>
      </c>
      <c r="C22" s="32" t="s">
        <v>112</v>
      </c>
      <c r="D22" s="32" t="s">
        <v>114</v>
      </c>
      <c r="E22" s="31"/>
      <c r="F22" s="32"/>
      <c r="G22" s="31"/>
      <c r="H22" s="32"/>
      <c r="I22" s="32"/>
      <c r="J22" s="32"/>
      <c r="K22" s="31"/>
      <c r="L22" s="32"/>
    </row>
    <row r="23" customFormat="false" ht="16.4" hidden="false" customHeight="false" outlineLevel="0" collapsed="false">
      <c r="A23" s="29" t="n">
        <v>19</v>
      </c>
      <c r="B23" s="29" t="s">
        <v>89</v>
      </c>
      <c r="C23" s="30" t="s">
        <v>115</v>
      </c>
      <c r="D23" s="30" t="s">
        <v>116</v>
      </c>
      <c r="E23" s="29"/>
      <c r="F23" s="30"/>
      <c r="G23" s="29"/>
      <c r="H23" s="30"/>
      <c r="I23" s="30"/>
      <c r="J23" s="30"/>
      <c r="K23" s="29"/>
      <c r="L23" s="30"/>
    </row>
    <row r="24" customFormat="false" ht="16.4" hidden="false" customHeight="false" outlineLevel="0" collapsed="false">
      <c r="A24" s="31" t="n">
        <v>20</v>
      </c>
      <c r="B24" s="31" t="s">
        <v>89</v>
      </c>
      <c r="C24" s="32" t="s">
        <v>117</v>
      </c>
      <c r="D24" s="32" t="s">
        <v>118</v>
      </c>
      <c r="E24" s="31"/>
      <c r="F24" s="32"/>
      <c r="G24" s="31"/>
      <c r="H24" s="32"/>
      <c r="I24" s="32"/>
      <c r="J24" s="32"/>
      <c r="K24" s="31"/>
      <c r="L24" s="32"/>
    </row>
    <row r="25" customFormat="false" ht="16.4" hidden="false" customHeight="false" outlineLevel="0" collapsed="false">
      <c r="A25" s="29" t="n">
        <v>21</v>
      </c>
      <c r="B25" s="29" t="s">
        <v>89</v>
      </c>
      <c r="C25" s="30" t="s">
        <v>117</v>
      </c>
      <c r="D25" s="30" t="s">
        <v>119</v>
      </c>
      <c r="E25" s="29"/>
      <c r="F25" s="30"/>
      <c r="G25" s="29"/>
      <c r="H25" s="30"/>
      <c r="I25" s="30"/>
      <c r="J25" s="30"/>
      <c r="K25" s="29"/>
      <c r="L25" s="30"/>
    </row>
    <row r="26" customFormat="false" ht="16.4" hidden="false" customHeight="false" outlineLevel="0" collapsed="false">
      <c r="A26" s="31" t="n">
        <v>22</v>
      </c>
      <c r="B26" s="31" t="s">
        <v>89</v>
      </c>
      <c r="C26" s="32" t="s">
        <v>120</v>
      </c>
      <c r="D26" s="32" t="s">
        <v>121</v>
      </c>
      <c r="E26" s="31"/>
      <c r="F26" s="32"/>
      <c r="G26" s="31"/>
      <c r="H26" s="32"/>
      <c r="I26" s="32"/>
      <c r="J26" s="32"/>
      <c r="K26" s="31"/>
      <c r="L26" s="32"/>
    </row>
    <row r="27" customFormat="false" ht="16.4" hidden="false" customHeight="false" outlineLevel="0" collapsed="false">
      <c r="A27" s="29" t="n">
        <v>23</v>
      </c>
      <c r="B27" s="29" t="s">
        <v>89</v>
      </c>
      <c r="C27" s="30" t="s">
        <v>120</v>
      </c>
      <c r="D27" s="30" t="s">
        <v>122</v>
      </c>
      <c r="E27" s="29"/>
      <c r="F27" s="30"/>
      <c r="G27" s="29"/>
      <c r="H27" s="30"/>
      <c r="I27" s="30"/>
      <c r="J27" s="30"/>
      <c r="K27" s="29"/>
      <c r="L27" s="30"/>
    </row>
    <row r="28" customFormat="false" ht="21.75" hidden="false" customHeight="true" outlineLevel="0" collapsed="false">
      <c r="A28" s="26" t="s">
        <v>123</v>
      </c>
      <c r="B28" s="27" t="s">
        <v>124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customFormat="false" ht="16.4" hidden="false" customHeight="false" outlineLevel="0" collapsed="false">
      <c r="A29" s="31" t="n">
        <v>24</v>
      </c>
      <c r="B29" s="31" t="s">
        <v>123</v>
      </c>
      <c r="C29" s="32" t="s">
        <v>125</v>
      </c>
      <c r="D29" s="32" t="s">
        <v>126</v>
      </c>
      <c r="E29" s="31"/>
      <c r="F29" s="32"/>
      <c r="G29" s="31"/>
      <c r="H29" s="32"/>
      <c r="I29" s="32"/>
      <c r="J29" s="32"/>
      <c r="K29" s="31"/>
      <c r="L29" s="32"/>
    </row>
    <row r="30" customFormat="false" ht="16.4" hidden="false" customHeight="false" outlineLevel="0" collapsed="false">
      <c r="A30" s="29" t="n">
        <v>25</v>
      </c>
      <c r="B30" s="29" t="s">
        <v>123</v>
      </c>
      <c r="C30" s="30" t="s">
        <v>127</v>
      </c>
      <c r="D30" s="30" t="s">
        <v>128</v>
      </c>
      <c r="E30" s="29"/>
      <c r="F30" s="30"/>
      <c r="G30" s="29"/>
      <c r="H30" s="30"/>
      <c r="I30" s="30"/>
      <c r="J30" s="30"/>
      <c r="K30" s="29"/>
      <c r="L30" s="30"/>
    </row>
    <row r="31" customFormat="false" ht="16.4" hidden="false" customHeight="false" outlineLevel="0" collapsed="false">
      <c r="A31" s="31" t="n">
        <v>26</v>
      </c>
      <c r="B31" s="31" t="s">
        <v>123</v>
      </c>
      <c r="C31" s="32" t="s">
        <v>129</v>
      </c>
      <c r="D31" s="32" t="s">
        <v>130</v>
      </c>
      <c r="E31" s="31"/>
      <c r="F31" s="32"/>
      <c r="G31" s="31"/>
      <c r="H31" s="32"/>
      <c r="I31" s="32"/>
      <c r="J31" s="32"/>
      <c r="K31" s="31"/>
      <c r="L31" s="32"/>
    </row>
    <row r="32" customFormat="false" ht="16.4" hidden="false" customHeight="false" outlineLevel="0" collapsed="false">
      <c r="A32" s="29" t="n">
        <v>27</v>
      </c>
      <c r="B32" s="29" t="s">
        <v>123</v>
      </c>
      <c r="C32" s="30" t="s">
        <v>129</v>
      </c>
      <c r="D32" s="30" t="s">
        <v>131</v>
      </c>
      <c r="E32" s="29"/>
      <c r="F32" s="30"/>
      <c r="G32" s="29"/>
      <c r="H32" s="30"/>
      <c r="I32" s="30"/>
      <c r="J32" s="30"/>
      <c r="K32" s="29"/>
      <c r="L32" s="30"/>
    </row>
    <row r="33" customFormat="false" ht="16.4" hidden="false" customHeight="false" outlineLevel="0" collapsed="false">
      <c r="A33" s="31" t="n">
        <v>28</v>
      </c>
      <c r="B33" s="31" t="s">
        <v>123</v>
      </c>
      <c r="C33" s="32" t="s">
        <v>132</v>
      </c>
      <c r="D33" s="32" t="s">
        <v>133</v>
      </c>
      <c r="E33" s="31"/>
      <c r="F33" s="32"/>
      <c r="G33" s="31"/>
      <c r="H33" s="32"/>
      <c r="I33" s="32"/>
      <c r="J33" s="32"/>
      <c r="K33" s="31"/>
      <c r="L33" s="32"/>
    </row>
    <row r="34" customFormat="false" ht="16.4" hidden="false" customHeight="false" outlineLevel="0" collapsed="false">
      <c r="A34" s="29" t="n">
        <v>29</v>
      </c>
      <c r="B34" s="29" t="s">
        <v>123</v>
      </c>
      <c r="C34" s="30" t="s">
        <v>134</v>
      </c>
      <c r="D34" s="30" t="s">
        <v>135</v>
      </c>
      <c r="E34" s="29"/>
      <c r="F34" s="30"/>
      <c r="G34" s="29"/>
      <c r="H34" s="30"/>
      <c r="I34" s="30"/>
      <c r="J34" s="30"/>
      <c r="K34" s="29"/>
      <c r="L34" s="30"/>
    </row>
    <row r="35" customFormat="false" ht="16.4" hidden="false" customHeight="false" outlineLevel="0" collapsed="false">
      <c r="A35" s="31" t="n">
        <v>30</v>
      </c>
      <c r="B35" s="31" t="s">
        <v>123</v>
      </c>
      <c r="C35" s="32" t="s">
        <v>134</v>
      </c>
      <c r="D35" s="32" t="s">
        <v>136</v>
      </c>
      <c r="E35" s="31"/>
      <c r="F35" s="32"/>
      <c r="G35" s="31"/>
      <c r="H35" s="32"/>
      <c r="I35" s="32"/>
      <c r="J35" s="32"/>
      <c r="K35" s="31"/>
      <c r="L35" s="32"/>
    </row>
    <row r="36" customFormat="false" ht="16.4" hidden="false" customHeight="false" outlineLevel="0" collapsed="false">
      <c r="A36" s="29" t="n">
        <v>31</v>
      </c>
      <c r="B36" s="29" t="s">
        <v>123</v>
      </c>
      <c r="C36" s="30" t="s">
        <v>134</v>
      </c>
      <c r="D36" s="30" t="s">
        <v>137</v>
      </c>
      <c r="E36" s="29"/>
      <c r="F36" s="30"/>
      <c r="G36" s="29"/>
      <c r="H36" s="30"/>
      <c r="I36" s="30"/>
      <c r="J36" s="30"/>
      <c r="K36" s="29"/>
      <c r="L36" s="30"/>
    </row>
    <row r="37" customFormat="false" ht="16.4" hidden="false" customHeight="false" outlineLevel="0" collapsed="false">
      <c r="A37" s="31" t="n">
        <v>32</v>
      </c>
      <c r="B37" s="31" t="s">
        <v>123</v>
      </c>
      <c r="C37" s="32" t="s">
        <v>138</v>
      </c>
      <c r="D37" s="32" t="s">
        <v>139</v>
      </c>
      <c r="E37" s="31"/>
      <c r="F37" s="32"/>
      <c r="G37" s="31"/>
      <c r="H37" s="32"/>
      <c r="I37" s="32"/>
      <c r="J37" s="32"/>
      <c r="K37" s="31"/>
      <c r="L37" s="32"/>
    </row>
    <row r="38" customFormat="false" ht="16.4" hidden="false" customHeight="false" outlineLevel="0" collapsed="false">
      <c r="A38" s="29" t="n">
        <v>33</v>
      </c>
      <c r="B38" s="29" t="s">
        <v>123</v>
      </c>
      <c r="C38" s="30" t="s">
        <v>138</v>
      </c>
      <c r="D38" s="30" t="s">
        <v>140</v>
      </c>
      <c r="E38" s="29"/>
      <c r="F38" s="30"/>
      <c r="G38" s="29"/>
      <c r="H38" s="30"/>
      <c r="I38" s="30"/>
      <c r="J38" s="30"/>
      <c r="K38" s="29"/>
      <c r="L38" s="30"/>
    </row>
    <row r="39" customFormat="false" ht="16.4" hidden="false" customHeight="false" outlineLevel="0" collapsed="false">
      <c r="A39" s="31" t="n">
        <v>34</v>
      </c>
      <c r="B39" s="31" t="s">
        <v>123</v>
      </c>
      <c r="C39" s="32" t="s">
        <v>141</v>
      </c>
      <c r="D39" s="32" t="s">
        <v>142</v>
      </c>
      <c r="E39" s="31"/>
      <c r="F39" s="32"/>
      <c r="G39" s="31"/>
      <c r="H39" s="32"/>
      <c r="I39" s="32"/>
      <c r="J39" s="32"/>
      <c r="K39" s="31"/>
      <c r="L39" s="32"/>
    </row>
    <row r="40" customFormat="false" ht="16.4" hidden="false" customHeight="false" outlineLevel="0" collapsed="false">
      <c r="A40" s="29" t="n">
        <v>35</v>
      </c>
      <c r="B40" s="29" t="s">
        <v>123</v>
      </c>
      <c r="C40" s="30" t="s">
        <v>141</v>
      </c>
      <c r="D40" s="30" t="s">
        <v>143</v>
      </c>
      <c r="E40" s="29"/>
      <c r="F40" s="30"/>
      <c r="G40" s="29"/>
      <c r="H40" s="30"/>
      <c r="I40" s="30"/>
      <c r="J40" s="30"/>
      <c r="K40" s="29"/>
      <c r="L40" s="30"/>
    </row>
    <row r="41" customFormat="false" ht="16.4" hidden="false" customHeight="false" outlineLevel="0" collapsed="false">
      <c r="A41" s="31" t="n">
        <v>36</v>
      </c>
      <c r="B41" s="31" t="s">
        <v>123</v>
      </c>
      <c r="C41" s="32" t="s">
        <v>144</v>
      </c>
      <c r="D41" s="32" t="s">
        <v>145</v>
      </c>
      <c r="E41" s="31"/>
      <c r="F41" s="32"/>
      <c r="G41" s="31"/>
      <c r="H41" s="32"/>
      <c r="I41" s="32"/>
      <c r="J41" s="32"/>
      <c r="K41" s="31"/>
      <c r="L41" s="32"/>
    </row>
    <row r="42" customFormat="false" ht="16.4" hidden="false" customHeight="false" outlineLevel="0" collapsed="false">
      <c r="A42" s="29" t="n">
        <v>37</v>
      </c>
      <c r="B42" s="29" t="s">
        <v>123</v>
      </c>
      <c r="C42" s="30" t="s">
        <v>144</v>
      </c>
      <c r="D42" s="30" t="s">
        <v>146</v>
      </c>
      <c r="E42" s="29"/>
      <c r="F42" s="30"/>
      <c r="G42" s="29"/>
      <c r="H42" s="30"/>
      <c r="I42" s="30"/>
      <c r="J42" s="30"/>
      <c r="K42" s="29"/>
      <c r="L42" s="30"/>
    </row>
    <row r="43" customFormat="false" ht="16.4" hidden="false" customHeight="false" outlineLevel="0" collapsed="false">
      <c r="A43" s="31" t="n">
        <v>38</v>
      </c>
      <c r="B43" s="31" t="s">
        <v>123</v>
      </c>
      <c r="C43" s="32" t="s">
        <v>147</v>
      </c>
      <c r="D43" s="32" t="s">
        <v>148</v>
      </c>
      <c r="E43" s="31"/>
      <c r="F43" s="32"/>
      <c r="G43" s="31"/>
      <c r="H43" s="32"/>
      <c r="I43" s="32"/>
      <c r="J43" s="32"/>
      <c r="K43" s="31"/>
      <c r="L43" s="32"/>
    </row>
    <row r="44" customFormat="false" ht="21.75" hidden="false" customHeight="true" outlineLevel="0" collapsed="false">
      <c r="A44" s="26" t="s">
        <v>149</v>
      </c>
      <c r="B44" s="27" t="s">
        <v>150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customFormat="false" ht="16.4" hidden="false" customHeight="false" outlineLevel="0" collapsed="false">
      <c r="A45" s="29" t="n">
        <v>39</v>
      </c>
      <c r="B45" s="29" t="s">
        <v>149</v>
      </c>
      <c r="C45" s="30" t="s">
        <v>151</v>
      </c>
      <c r="D45" s="30" t="s">
        <v>152</v>
      </c>
      <c r="E45" s="29"/>
      <c r="F45" s="30"/>
      <c r="G45" s="29"/>
      <c r="H45" s="30"/>
      <c r="I45" s="30"/>
      <c r="J45" s="30"/>
      <c r="K45" s="29"/>
      <c r="L45" s="30"/>
    </row>
    <row r="46" customFormat="false" ht="16.4" hidden="false" customHeight="false" outlineLevel="0" collapsed="false">
      <c r="A46" s="31" t="n">
        <v>40</v>
      </c>
      <c r="B46" s="31" t="s">
        <v>149</v>
      </c>
      <c r="C46" s="32" t="s">
        <v>151</v>
      </c>
      <c r="D46" s="32" t="s">
        <v>153</v>
      </c>
      <c r="E46" s="31"/>
      <c r="F46" s="32"/>
      <c r="G46" s="31"/>
      <c r="H46" s="32"/>
      <c r="I46" s="32"/>
      <c r="J46" s="32"/>
      <c r="K46" s="31"/>
      <c r="L46" s="32"/>
    </row>
    <row r="47" customFormat="false" ht="16.4" hidden="false" customHeight="false" outlineLevel="0" collapsed="false">
      <c r="A47" s="29" t="n">
        <v>41</v>
      </c>
      <c r="B47" s="29" t="s">
        <v>149</v>
      </c>
      <c r="C47" s="30" t="s">
        <v>151</v>
      </c>
      <c r="D47" s="30" t="s">
        <v>154</v>
      </c>
      <c r="E47" s="29"/>
      <c r="F47" s="30"/>
      <c r="G47" s="29"/>
      <c r="H47" s="30"/>
      <c r="I47" s="30"/>
      <c r="J47" s="30"/>
      <c r="K47" s="29"/>
      <c r="L47" s="30"/>
    </row>
    <row r="48" customFormat="false" ht="16.4" hidden="false" customHeight="false" outlineLevel="0" collapsed="false">
      <c r="A48" s="31" t="n">
        <v>42</v>
      </c>
      <c r="B48" s="31" t="s">
        <v>149</v>
      </c>
      <c r="C48" s="32" t="s">
        <v>151</v>
      </c>
      <c r="D48" s="32" t="s">
        <v>155</v>
      </c>
      <c r="E48" s="31"/>
      <c r="F48" s="32"/>
      <c r="G48" s="31"/>
      <c r="H48" s="32"/>
      <c r="I48" s="32"/>
      <c r="J48" s="32"/>
      <c r="K48" s="31"/>
      <c r="L48" s="32"/>
    </row>
    <row r="49" customFormat="false" ht="16.4" hidden="false" customHeight="false" outlineLevel="0" collapsed="false">
      <c r="A49" s="29" t="n">
        <v>43</v>
      </c>
      <c r="B49" s="29" t="s">
        <v>149</v>
      </c>
      <c r="C49" s="30" t="s">
        <v>156</v>
      </c>
      <c r="D49" s="30" t="s">
        <v>157</v>
      </c>
      <c r="E49" s="29"/>
      <c r="F49" s="30"/>
      <c r="G49" s="29"/>
      <c r="H49" s="30"/>
      <c r="I49" s="30"/>
      <c r="J49" s="30"/>
      <c r="K49" s="29"/>
      <c r="L49" s="30"/>
    </row>
    <row r="50" customFormat="false" ht="16.4" hidden="false" customHeight="false" outlineLevel="0" collapsed="false">
      <c r="A50" s="31" t="n">
        <v>44</v>
      </c>
      <c r="B50" s="31" t="s">
        <v>149</v>
      </c>
      <c r="C50" s="32" t="s">
        <v>156</v>
      </c>
      <c r="D50" s="32" t="s">
        <v>158</v>
      </c>
      <c r="E50" s="31"/>
      <c r="F50" s="32"/>
      <c r="G50" s="31"/>
      <c r="H50" s="32"/>
      <c r="I50" s="32"/>
      <c r="J50" s="32"/>
      <c r="K50" s="31"/>
      <c r="L50" s="32"/>
    </row>
    <row r="51" customFormat="false" ht="16.4" hidden="false" customHeight="false" outlineLevel="0" collapsed="false">
      <c r="A51" s="29" t="n">
        <v>45</v>
      </c>
      <c r="B51" s="29" t="s">
        <v>149</v>
      </c>
      <c r="C51" s="30" t="s">
        <v>159</v>
      </c>
      <c r="D51" s="30" t="s">
        <v>160</v>
      </c>
      <c r="E51" s="29"/>
      <c r="F51" s="30"/>
      <c r="G51" s="29"/>
      <c r="H51" s="30"/>
      <c r="I51" s="30"/>
      <c r="J51" s="30"/>
      <c r="K51" s="29"/>
      <c r="L51" s="30"/>
    </row>
    <row r="52" customFormat="false" ht="16.4" hidden="false" customHeight="false" outlineLevel="0" collapsed="false">
      <c r="A52" s="31" t="n">
        <v>46</v>
      </c>
      <c r="B52" s="31" t="s">
        <v>149</v>
      </c>
      <c r="C52" s="32" t="s">
        <v>159</v>
      </c>
      <c r="D52" s="32" t="s">
        <v>161</v>
      </c>
      <c r="E52" s="31"/>
      <c r="F52" s="32"/>
      <c r="G52" s="31"/>
      <c r="H52" s="32"/>
      <c r="I52" s="32"/>
      <c r="J52" s="32"/>
      <c r="K52" s="31"/>
      <c r="L52" s="32"/>
    </row>
    <row r="53" customFormat="false" ht="16.4" hidden="false" customHeight="false" outlineLevel="0" collapsed="false">
      <c r="A53" s="29" t="n">
        <v>47</v>
      </c>
      <c r="B53" s="29" t="s">
        <v>149</v>
      </c>
      <c r="C53" s="30" t="s">
        <v>162</v>
      </c>
      <c r="D53" s="30" t="s">
        <v>163</v>
      </c>
      <c r="E53" s="29"/>
      <c r="F53" s="30"/>
      <c r="G53" s="29"/>
      <c r="H53" s="30"/>
      <c r="I53" s="30"/>
      <c r="J53" s="30"/>
      <c r="K53" s="29"/>
      <c r="L53" s="30"/>
    </row>
    <row r="54" customFormat="false" ht="16.4" hidden="false" customHeight="false" outlineLevel="0" collapsed="false">
      <c r="A54" s="31" t="n">
        <v>48</v>
      </c>
      <c r="B54" s="31" t="s">
        <v>149</v>
      </c>
      <c r="C54" s="32" t="s">
        <v>162</v>
      </c>
      <c r="D54" s="32" t="s">
        <v>164</v>
      </c>
      <c r="E54" s="31"/>
      <c r="F54" s="32"/>
      <c r="G54" s="31"/>
      <c r="H54" s="32"/>
      <c r="I54" s="32"/>
      <c r="J54" s="32"/>
      <c r="K54" s="31"/>
      <c r="L54" s="32"/>
    </row>
    <row r="55" customFormat="false" ht="16.4" hidden="false" customHeight="false" outlineLevel="0" collapsed="false">
      <c r="A55" s="29" t="n">
        <v>49</v>
      </c>
      <c r="B55" s="29" t="s">
        <v>149</v>
      </c>
      <c r="C55" s="30" t="s">
        <v>165</v>
      </c>
      <c r="D55" s="30" t="s">
        <v>166</v>
      </c>
      <c r="E55" s="29"/>
      <c r="F55" s="30"/>
      <c r="G55" s="29"/>
      <c r="H55" s="30"/>
      <c r="I55" s="30"/>
      <c r="J55" s="30"/>
      <c r="K55" s="29"/>
      <c r="L55" s="30"/>
    </row>
    <row r="56" customFormat="false" ht="16.4" hidden="false" customHeight="false" outlineLevel="0" collapsed="false">
      <c r="A56" s="31" t="n">
        <v>50</v>
      </c>
      <c r="B56" s="31" t="s">
        <v>149</v>
      </c>
      <c r="C56" s="32" t="s">
        <v>165</v>
      </c>
      <c r="D56" s="32" t="s">
        <v>167</v>
      </c>
      <c r="E56" s="31"/>
      <c r="F56" s="32"/>
      <c r="G56" s="31"/>
      <c r="H56" s="32"/>
      <c r="I56" s="32"/>
      <c r="J56" s="32"/>
      <c r="K56" s="31"/>
      <c r="L56" s="32"/>
    </row>
    <row r="57" customFormat="false" ht="16.4" hidden="false" customHeight="false" outlineLevel="0" collapsed="false">
      <c r="A57" s="29" t="n">
        <v>51</v>
      </c>
      <c r="B57" s="29" t="s">
        <v>149</v>
      </c>
      <c r="C57" s="30" t="s">
        <v>165</v>
      </c>
      <c r="D57" s="30" t="s">
        <v>168</v>
      </c>
      <c r="E57" s="29"/>
      <c r="F57" s="30"/>
      <c r="G57" s="29"/>
      <c r="H57" s="30"/>
      <c r="I57" s="30"/>
      <c r="J57" s="30"/>
      <c r="K57" s="29"/>
      <c r="L57" s="30"/>
    </row>
    <row r="58" customFormat="false" ht="16.4" hidden="false" customHeight="false" outlineLevel="0" collapsed="false">
      <c r="A58" s="31" t="n">
        <v>52</v>
      </c>
      <c r="B58" s="31" t="s">
        <v>149</v>
      </c>
      <c r="C58" s="32" t="s">
        <v>169</v>
      </c>
      <c r="D58" s="32" t="s">
        <v>170</v>
      </c>
      <c r="E58" s="31"/>
      <c r="F58" s="32"/>
      <c r="G58" s="31"/>
      <c r="H58" s="32"/>
      <c r="I58" s="32"/>
      <c r="J58" s="32"/>
      <c r="K58" s="31"/>
      <c r="L58" s="32"/>
    </row>
    <row r="59" customFormat="false" ht="16.4" hidden="false" customHeight="false" outlineLevel="0" collapsed="false">
      <c r="A59" s="29" t="n">
        <v>53</v>
      </c>
      <c r="B59" s="29" t="s">
        <v>149</v>
      </c>
      <c r="C59" s="30" t="s">
        <v>169</v>
      </c>
      <c r="D59" s="30" t="s">
        <v>171</v>
      </c>
      <c r="E59" s="29"/>
      <c r="F59" s="30"/>
      <c r="G59" s="29"/>
      <c r="H59" s="30"/>
      <c r="I59" s="30"/>
      <c r="J59" s="30"/>
      <c r="K59" s="29"/>
      <c r="L59" s="30"/>
    </row>
    <row r="60" customFormat="false" ht="16.4" hidden="false" customHeight="false" outlineLevel="0" collapsed="false">
      <c r="A60" s="31" t="n">
        <v>54</v>
      </c>
      <c r="B60" s="31" t="s">
        <v>149</v>
      </c>
      <c r="C60" s="32" t="s">
        <v>169</v>
      </c>
      <c r="D60" s="32" t="s">
        <v>172</v>
      </c>
      <c r="E60" s="31"/>
      <c r="F60" s="32"/>
      <c r="G60" s="31"/>
      <c r="H60" s="32"/>
      <c r="I60" s="32"/>
      <c r="J60" s="32"/>
      <c r="K60" s="31"/>
      <c r="L60" s="32"/>
    </row>
    <row r="61" customFormat="false" ht="16.4" hidden="false" customHeight="false" outlineLevel="0" collapsed="false">
      <c r="A61" s="29" t="n">
        <v>55</v>
      </c>
      <c r="B61" s="29" t="s">
        <v>149</v>
      </c>
      <c r="C61" s="30" t="s">
        <v>173</v>
      </c>
      <c r="D61" s="30" t="s">
        <v>174</v>
      </c>
      <c r="E61" s="29"/>
      <c r="F61" s="30"/>
      <c r="G61" s="29"/>
      <c r="H61" s="30"/>
      <c r="I61" s="30"/>
      <c r="J61" s="30"/>
      <c r="K61" s="29"/>
      <c r="L61" s="30"/>
    </row>
    <row r="62" customFormat="false" ht="16.4" hidden="false" customHeight="false" outlineLevel="0" collapsed="false">
      <c r="A62" s="31" t="n">
        <v>56</v>
      </c>
      <c r="B62" s="31" t="s">
        <v>149</v>
      </c>
      <c r="C62" s="32" t="s">
        <v>175</v>
      </c>
      <c r="D62" s="32" t="s">
        <v>176</v>
      </c>
      <c r="E62" s="31"/>
      <c r="F62" s="32"/>
      <c r="G62" s="31"/>
      <c r="H62" s="32"/>
      <c r="I62" s="32"/>
      <c r="J62" s="32"/>
      <c r="K62" s="31"/>
      <c r="L62" s="32"/>
    </row>
    <row r="63" customFormat="false" ht="21.75" hidden="false" customHeight="true" outlineLevel="0" collapsed="false">
      <c r="A63" s="26" t="s">
        <v>177</v>
      </c>
      <c r="B63" s="27" t="s">
        <v>178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 customFormat="false" ht="16.4" hidden="false" customHeight="false" outlineLevel="0" collapsed="false">
      <c r="A64" s="29" t="n">
        <v>57</v>
      </c>
      <c r="B64" s="29" t="s">
        <v>177</v>
      </c>
      <c r="C64" s="30" t="s">
        <v>179</v>
      </c>
      <c r="D64" s="30" t="s">
        <v>180</v>
      </c>
      <c r="E64" s="29"/>
      <c r="F64" s="30"/>
      <c r="G64" s="29"/>
      <c r="H64" s="30"/>
      <c r="I64" s="30"/>
      <c r="J64" s="30"/>
      <c r="K64" s="29"/>
      <c r="L64" s="30"/>
    </row>
    <row r="65" customFormat="false" ht="16.4" hidden="false" customHeight="false" outlineLevel="0" collapsed="false">
      <c r="A65" s="31" t="n">
        <v>58</v>
      </c>
      <c r="B65" s="31" t="s">
        <v>177</v>
      </c>
      <c r="C65" s="32" t="s">
        <v>179</v>
      </c>
      <c r="D65" s="32" t="s">
        <v>181</v>
      </c>
      <c r="E65" s="31"/>
      <c r="F65" s="32"/>
      <c r="G65" s="31"/>
      <c r="H65" s="32"/>
      <c r="I65" s="32"/>
      <c r="J65" s="32"/>
      <c r="K65" s="31"/>
      <c r="L65" s="32"/>
    </row>
    <row r="66" customFormat="false" ht="16.4" hidden="false" customHeight="false" outlineLevel="0" collapsed="false">
      <c r="A66" s="29" t="n">
        <v>59</v>
      </c>
      <c r="B66" s="29" t="s">
        <v>177</v>
      </c>
      <c r="C66" s="30" t="s">
        <v>179</v>
      </c>
      <c r="D66" s="30" t="s">
        <v>182</v>
      </c>
      <c r="E66" s="29"/>
      <c r="F66" s="30"/>
      <c r="G66" s="29"/>
      <c r="H66" s="30"/>
      <c r="I66" s="30"/>
      <c r="J66" s="30"/>
      <c r="K66" s="29"/>
      <c r="L66" s="30"/>
    </row>
    <row r="67" customFormat="false" ht="16.4" hidden="false" customHeight="false" outlineLevel="0" collapsed="false">
      <c r="A67" s="31" t="n">
        <v>60</v>
      </c>
      <c r="B67" s="31" t="s">
        <v>177</v>
      </c>
      <c r="C67" s="32" t="s">
        <v>179</v>
      </c>
      <c r="D67" s="32" t="s">
        <v>183</v>
      </c>
      <c r="E67" s="31"/>
      <c r="F67" s="32"/>
      <c r="G67" s="31"/>
      <c r="H67" s="32"/>
      <c r="I67" s="32"/>
      <c r="J67" s="32"/>
      <c r="K67" s="31"/>
      <c r="L67" s="32"/>
    </row>
    <row r="68" customFormat="false" ht="16.4" hidden="false" customHeight="false" outlineLevel="0" collapsed="false">
      <c r="A68" s="29" t="n">
        <v>61</v>
      </c>
      <c r="B68" s="29" t="s">
        <v>177</v>
      </c>
      <c r="C68" s="30" t="s">
        <v>184</v>
      </c>
      <c r="D68" s="30" t="s">
        <v>185</v>
      </c>
      <c r="E68" s="29"/>
      <c r="F68" s="30"/>
      <c r="G68" s="29"/>
      <c r="H68" s="30"/>
      <c r="I68" s="30"/>
      <c r="J68" s="30"/>
      <c r="K68" s="29"/>
      <c r="L68" s="30"/>
    </row>
    <row r="69" customFormat="false" ht="16.4" hidden="false" customHeight="false" outlineLevel="0" collapsed="false">
      <c r="A69" s="31" t="n">
        <v>62</v>
      </c>
      <c r="B69" s="31" t="s">
        <v>177</v>
      </c>
      <c r="C69" s="32" t="s">
        <v>186</v>
      </c>
      <c r="D69" s="32" t="s">
        <v>187</v>
      </c>
      <c r="E69" s="31"/>
      <c r="F69" s="32"/>
      <c r="G69" s="31"/>
      <c r="H69" s="32"/>
      <c r="I69" s="32"/>
      <c r="J69" s="32"/>
      <c r="K69" s="31"/>
      <c r="L69" s="32"/>
    </row>
    <row r="70" customFormat="false" ht="16.4" hidden="false" customHeight="false" outlineLevel="0" collapsed="false">
      <c r="A70" s="29" t="n">
        <v>63</v>
      </c>
      <c r="B70" s="29" t="s">
        <v>177</v>
      </c>
      <c r="C70" s="30" t="s">
        <v>186</v>
      </c>
      <c r="D70" s="30" t="s">
        <v>188</v>
      </c>
      <c r="E70" s="29"/>
      <c r="F70" s="30"/>
      <c r="G70" s="29"/>
      <c r="H70" s="30"/>
      <c r="I70" s="30"/>
      <c r="J70" s="30"/>
      <c r="K70" s="29"/>
      <c r="L70" s="30"/>
    </row>
    <row r="71" customFormat="false" ht="16.4" hidden="false" customHeight="false" outlineLevel="0" collapsed="false">
      <c r="A71" s="31" t="n">
        <v>64</v>
      </c>
      <c r="B71" s="31" t="s">
        <v>177</v>
      </c>
      <c r="C71" s="32" t="s">
        <v>189</v>
      </c>
      <c r="D71" s="32" t="s">
        <v>190</v>
      </c>
      <c r="E71" s="31"/>
      <c r="F71" s="32"/>
      <c r="G71" s="31"/>
      <c r="H71" s="32"/>
      <c r="I71" s="32"/>
      <c r="J71" s="32"/>
      <c r="K71" s="31"/>
      <c r="L71" s="32"/>
    </row>
    <row r="72" customFormat="false" ht="16.4" hidden="false" customHeight="false" outlineLevel="0" collapsed="false">
      <c r="A72" s="29" t="n">
        <v>65</v>
      </c>
      <c r="B72" s="29" t="s">
        <v>177</v>
      </c>
      <c r="C72" s="30" t="s">
        <v>191</v>
      </c>
      <c r="D72" s="30" t="s">
        <v>192</v>
      </c>
      <c r="E72" s="29"/>
      <c r="F72" s="30"/>
      <c r="G72" s="29"/>
      <c r="H72" s="30"/>
      <c r="I72" s="30"/>
      <c r="J72" s="30"/>
      <c r="K72" s="29"/>
      <c r="L72" s="30"/>
    </row>
    <row r="73" customFormat="false" ht="16.4" hidden="false" customHeight="false" outlineLevel="0" collapsed="false">
      <c r="A73" s="31" t="n">
        <v>66</v>
      </c>
      <c r="B73" s="31" t="s">
        <v>177</v>
      </c>
      <c r="C73" s="32" t="s">
        <v>193</v>
      </c>
      <c r="D73" s="32" t="s">
        <v>194</v>
      </c>
      <c r="E73" s="31"/>
      <c r="F73" s="32"/>
      <c r="G73" s="31"/>
      <c r="H73" s="32"/>
      <c r="I73" s="32"/>
      <c r="J73" s="32"/>
      <c r="K73" s="31"/>
      <c r="L73" s="32"/>
    </row>
    <row r="74" customFormat="false" ht="21.75" hidden="false" customHeight="true" outlineLevel="0" collapsed="false">
      <c r="A74" s="26" t="s">
        <v>195</v>
      </c>
      <c r="B74" s="27" t="s">
        <v>196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customFormat="false" ht="16.4" hidden="false" customHeight="false" outlineLevel="0" collapsed="false">
      <c r="A75" s="29" t="n">
        <v>67</v>
      </c>
      <c r="B75" s="29" t="s">
        <v>195</v>
      </c>
      <c r="C75" s="30" t="s">
        <v>197</v>
      </c>
      <c r="D75" s="30" t="s">
        <v>198</v>
      </c>
      <c r="E75" s="29"/>
      <c r="F75" s="30"/>
      <c r="G75" s="29"/>
      <c r="H75" s="30"/>
      <c r="I75" s="30"/>
      <c r="J75" s="30"/>
      <c r="K75" s="29"/>
      <c r="L75" s="30"/>
    </row>
    <row r="76" customFormat="false" ht="16.4" hidden="false" customHeight="false" outlineLevel="0" collapsed="false">
      <c r="A76" s="31" t="n">
        <v>68</v>
      </c>
      <c r="B76" s="31" t="s">
        <v>195</v>
      </c>
      <c r="C76" s="32" t="s">
        <v>197</v>
      </c>
      <c r="D76" s="32" t="s">
        <v>199</v>
      </c>
      <c r="E76" s="31"/>
      <c r="F76" s="32"/>
      <c r="G76" s="31"/>
      <c r="H76" s="32"/>
      <c r="I76" s="32"/>
      <c r="J76" s="32"/>
      <c r="K76" s="31"/>
      <c r="L76" s="32"/>
    </row>
    <row r="77" customFormat="false" ht="16.4" hidden="false" customHeight="false" outlineLevel="0" collapsed="false">
      <c r="A77" s="29" t="n">
        <v>69</v>
      </c>
      <c r="B77" s="29" t="s">
        <v>195</v>
      </c>
      <c r="C77" s="30" t="s">
        <v>197</v>
      </c>
      <c r="D77" s="30" t="s">
        <v>200</v>
      </c>
      <c r="E77" s="29"/>
      <c r="F77" s="30"/>
      <c r="G77" s="29"/>
      <c r="H77" s="30"/>
      <c r="I77" s="30"/>
      <c r="J77" s="30"/>
      <c r="K77" s="29"/>
      <c r="L77" s="30"/>
    </row>
    <row r="78" customFormat="false" ht="16.4" hidden="false" customHeight="false" outlineLevel="0" collapsed="false">
      <c r="A78" s="31" t="n">
        <v>70</v>
      </c>
      <c r="B78" s="31" t="s">
        <v>195</v>
      </c>
      <c r="C78" s="32" t="s">
        <v>201</v>
      </c>
      <c r="D78" s="32" t="s">
        <v>202</v>
      </c>
      <c r="E78" s="31"/>
      <c r="F78" s="32"/>
      <c r="G78" s="31"/>
      <c r="H78" s="32"/>
      <c r="I78" s="32"/>
      <c r="J78" s="32"/>
      <c r="K78" s="31"/>
      <c r="L78" s="32"/>
    </row>
    <row r="79" customFormat="false" ht="16.4" hidden="false" customHeight="false" outlineLevel="0" collapsed="false">
      <c r="A79" s="29" t="n">
        <v>71</v>
      </c>
      <c r="B79" s="29" t="s">
        <v>195</v>
      </c>
      <c r="C79" s="30" t="s">
        <v>201</v>
      </c>
      <c r="D79" s="30" t="s">
        <v>203</v>
      </c>
      <c r="E79" s="29"/>
      <c r="F79" s="30"/>
      <c r="G79" s="29"/>
      <c r="H79" s="30"/>
      <c r="I79" s="30"/>
      <c r="J79" s="30"/>
      <c r="K79" s="29"/>
      <c r="L79" s="30"/>
    </row>
    <row r="80" customFormat="false" ht="16.4" hidden="false" customHeight="false" outlineLevel="0" collapsed="false">
      <c r="A80" s="31" t="n">
        <v>72</v>
      </c>
      <c r="B80" s="31" t="s">
        <v>195</v>
      </c>
      <c r="C80" s="32" t="s">
        <v>204</v>
      </c>
      <c r="D80" s="32" t="s">
        <v>205</v>
      </c>
      <c r="E80" s="31"/>
      <c r="F80" s="32"/>
      <c r="G80" s="31"/>
      <c r="H80" s="32"/>
      <c r="I80" s="32"/>
      <c r="J80" s="32"/>
      <c r="K80" s="31"/>
      <c r="L80" s="32"/>
    </row>
    <row r="81" customFormat="false" ht="16.4" hidden="false" customHeight="false" outlineLevel="0" collapsed="false">
      <c r="A81" s="29" t="n">
        <v>73</v>
      </c>
      <c r="B81" s="29" t="s">
        <v>195</v>
      </c>
      <c r="C81" s="30" t="s">
        <v>204</v>
      </c>
      <c r="D81" s="30" t="s">
        <v>206</v>
      </c>
      <c r="E81" s="29"/>
      <c r="F81" s="30"/>
      <c r="G81" s="29"/>
      <c r="H81" s="30"/>
      <c r="I81" s="30"/>
      <c r="J81" s="30"/>
      <c r="K81" s="29"/>
      <c r="L81" s="30"/>
    </row>
    <row r="82" customFormat="false" ht="16.4" hidden="false" customHeight="false" outlineLevel="0" collapsed="false">
      <c r="A82" s="31" t="n">
        <v>74</v>
      </c>
      <c r="B82" s="31" t="s">
        <v>195</v>
      </c>
      <c r="C82" s="32" t="s">
        <v>204</v>
      </c>
      <c r="D82" s="32" t="s">
        <v>207</v>
      </c>
      <c r="E82" s="31"/>
      <c r="F82" s="32"/>
      <c r="G82" s="31"/>
      <c r="H82" s="32"/>
      <c r="I82" s="32"/>
      <c r="J82" s="32"/>
      <c r="K82" s="31"/>
      <c r="L82" s="32"/>
    </row>
    <row r="83" customFormat="false" ht="16.4" hidden="false" customHeight="false" outlineLevel="0" collapsed="false">
      <c r="A83" s="29" t="n">
        <v>75</v>
      </c>
      <c r="B83" s="29" t="s">
        <v>195</v>
      </c>
      <c r="C83" s="30" t="s">
        <v>208</v>
      </c>
      <c r="D83" s="30" t="s">
        <v>209</v>
      </c>
      <c r="E83" s="29"/>
      <c r="F83" s="30"/>
      <c r="G83" s="29"/>
      <c r="H83" s="30"/>
      <c r="I83" s="30"/>
      <c r="J83" s="30"/>
      <c r="K83" s="29"/>
      <c r="L83" s="30"/>
    </row>
    <row r="84" customFormat="false" ht="16.4" hidden="false" customHeight="false" outlineLevel="0" collapsed="false">
      <c r="A84" s="31" t="n">
        <v>76</v>
      </c>
      <c r="B84" s="31" t="s">
        <v>195</v>
      </c>
      <c r="C84" s="32" t="s">
        <v>210</v>
      </c>
      <c r="D84" s="32" t="s">
        <v>211</v>
      </c>
      <c r="E84" s="31"/>
      <c r="F84" s="32"/>
      <c r="G84" s="31"/>
      <c r="H84" s="32"/>
      <c r="I84" s="32"/>
      <c r="J84" s="32"/>
      <c r="K84" s="31"/>
      <c r="L84" s="32"/>
    </row>
    <row r="85" customFormat="false" ht="16.4" hidden="false" customHeight="false" outlineLevel="0" collapsed="false">
      <c r="A85" s="29" t="n">
        <v>77</v>
      </c>
      <c r="B85" s="29" t="s">
        <v>195</v>
      </c>
      <c r="C85" s="30" t="s">
        <v>212</v>
      </c>
      <c r="D85" s="30" t="s">
        <v>213</v>
      </c>
      <c r="E85" s="29"/>
      <c r="F85" s="30"/>
      <c r="G85" s="29"/>
      <c r="H85" s="30"/>
      <c r="I85" s="30"/>
      <c r="J85" s="30"/>
      <c r="K85" s="29"/>
      <c r="L85" s="30"/>
    </row>
    <row r="86" customFormat="false" ht="21.75" hidden="false" customHeight="true" outlineLevel="0" collapsed="false">
      <c r="A86" s="26" t="s">
        <v>214</v>
      </c>
      <c r="B86" s="27" t="s">
        <v>215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</row>
    <row r="87" customFormat="false" ht="16.4" hidden="false" customHeight="false" outlineLevel="0" collapsed="false">
      <c r="A87" s="31" t="n">
        <v>78</v>
      </c>
      <c r="B87" s="31" t="s">
        <v>214</v>
      </c>
      <c r="C87" s="32" t="s">
        <v>216</v>
      </c>
      <c r="D87" s="32" t="s">
        <v>217</v>
      </c>
      <c r="E87" s="31"/>
      <c r="F87" s="32"/>
      <c r="G87" s="31"/>
      <c r="H87" s="32"/>
      <c r="I87" s="32"/>
      <c r="J87" s="32"/>
      <c r="K87" s="31"/>
      <c r="L87" s="32"/>
    </row>
    <row r="88" customFormat="false" ht="16.4" hidden="false" customHeight="false" outlineLevel="0" collapsed="false">
      <c r="A88" s="29" t="n">
        <v>79</v>
      </c>
      <c r="B88" s="29" t="s">
        <v>214</v>
      </c>
      <c r="C88" s="30" t="s">
        <v>216</v>
      </c>
      <c r="D88" s="30" t="s">
        <v>218</v>
      </c>
      <c r="E88" s="29"/>
      <c r="F88" s="30"/>
      <c r="G88" s="29"/>
      <c r="H88" s="30"/>
      <c r="I88" s="30"/>
      <c r="J88" s="30"/>
      <c r="K88" s="29"/>
      <c r="L88" s="30"/>
    </row>
    <row r="89" customFormat="false" ht="16.4" hidden="false" customHeight="false" outlineLevel="0" collapsed="false">
      <c r="A89" s="31" t="n">
        <v>80</v>
      </c>
      <c r="B89" s="31" t="s">
        <v>214</v>
      </c>
      <c r="C89" s="32" t="s">
        <v>219</v>
      </c>
      <c r="D89" s="32" t="s">
        <v>220</v>
      </c>
      <c r="E89" s="31"/>
      <c r="F89" s="32"/>
      <c r="G89" s="31"/>
      <c r="H89" s="32"/>
      <c r="I89" s="32"/>
      <c r="J89" s="32"/>
      <c r="K89" s="31"/>
      <c r="L89" s="32"/>
    </row>
    <row r="90" customFormat="false" ht="16.4" hidden="false" customHeight="false" outlineLevel="0" collapsed="false">
      <c r="A90" s="29" t="n">
        <v>81</v>
      </c>
      <c r="B90" s="29" t="s">
        <v>214</v>
      </c>
      <c r="C90" s="30" t="s">
        <v>219</v>
      </c>
      <c r="D90" s="30" t="s">
        <v>221</v>
      </c>
      <c r="E90" s="29"/>
      <c r="F90" s="30"/>
      <c r="G90" s="29"/>
      <c r="H90" s="30"/>
      <c r="I90" s="30"/>
      <c r="J90" s="30"/>
      <c r="K90" s="29"/>
      <c r="L90" s="30"/>
    </row>
    <row r="91" customFormat="false" ht="16.4" hidden="false" customHeight="false" outlineLevel="0" collapsed="false">
      <c r="A91" s="31" t="n">
        <v>82</v>
      </c>
      <c r="B91" s="31" t="s">
        <v>214</v>
      </c>
      <c r="C91" s="32" t="s">
        <v>222</v>
      </c>
      <c r="D91" s="32" t="s">
        <v>223</v>
      </c>
      <c r="E91" s="31"/>
      <c r="F91" s="32"/>
      <c r="G91" s="31"/>
      <c r="H91" s="32"/>
      <c r="I91" s="32"/>
      <c r="J91" s="32"/>
      <c r="K91" s="31"/>
      <c r="L91" s="32"/>
    </row>
    <row r="92" customFormat="false" ht="16.4" hidden="false" customHeight="false" outlineLevel="0" collapsed="false">
      <c r="A92" s="29" t="n">
        <v>83</v>
      </c>
      <c r="B92" s="29" t="s">
        <v>214</v>
      </c>
      <c r="C92" s="30" t="s">
        <v>224</v>
      </c>
      <c r="D92" s="30" t="s">
        <v>225</v>
      </c>
      <c r="E92" s="29"/>
      <c r="F92" s="30"/>
      <c r="G92" s="29"/>
      <c r="H92" s="30"/>
      <c r="I92" s="30"/>
      <c r="J92" s="30"/>
      <c r="K92" s="29"/>
      <c r="L92" s="30"/>
    </row>
    <row r="93" customFormat="false" ht="16.4" hidden="false" customHeight="false" outlineLevel="0" collapsed="false">
      <c r="A93" s="31" t="n">
        <v>84</v>
      </c>
      <c r="B93" s="31" t="s">
        <v>214</v>
      </c>
      <c r="C93" s="32" t="s">
        <v>226</v>
      </c>
      <c r="D93" s="32" t="s">
        <v>227</v>
      </c>
      <c r="E93" s="31"/>
      <c r="F93" s="32"/>
      <c r="G93" s="31"/>
      <c r="H93" s="32"/>
      <c r="I93" s="32"/>
      <c r="J93" s="32"/>
      <c r="K93" s="31"/>
      <c r="L93" s="32"/>
    </row>
    <row r="94" customFormat="false" ht="16.4" hidden="false" customHeight="false" outlineLevel="0" collapsed="false">
      <c r="A94" s="29" t="n">
        <v>85</v>
      </c>
      <c r="B94" s="29" t="s">
        <v>214</v>
      </c>
      <c r="C94" s="30" t="s">
        <v>226</v>
      </c>
      <c r="D94" s="30" t="s">
        <v>228</v>
      </c>
      <c r="E94" s="29"/>
      <c r="F94" s="30"/>
      <c r="G94" s="29"/>
      <c r="H94" s="30"/>
      <c r="I94" s="30"/>
      <c r="J94" s="30"/>
      <c r="K94" s="29"/>
      <c r="L94" s="30"/>
    </row>
    <row r="95" customFormat="false" ht="16.4" hidden="false" customHeight="false" outlineLevel="0" collapsed="false">
      <c r="A95" s="31" t="n">
        <v>86</v>
      </c>
      <c r="B95" s="31" t="s">
        <v>214</v>
      </c>
      <c r="C95" s="32" t="s">
        <v>229</v>
      </c>
      <c r="D95" s="32" t="s">
        <v>230</v>
      </c>
      <c r="E95" s="31"/>
      <c r="F95" s="32"/>
      <c r="G95" s="31"/>
      <c r="H95" s="32"/>
      <c r="I95" s="32"/>
      <c r="J95" s="32"/>
      <c r="K95" s="31"/>
      <c r="L95" s="32"/>
    </row>
    <row r="96" customFormat="false" ht="16.4" hidden="false" customHeight="false" outlineLevel="0" collapsed="false">
      <c r="A96" s="29" t="n">
        <v>87</v>
      </c>
      <c r="B96" s="29" t="s">
        <v>214</v>
      </c>
      <c r="C96" s="30" t="s">
        <v>231</v>
      </c>
      <c r="D96" s="30" t="s">
        <v>232</v>
      </c>
      <c r="E96" s="29"/>
      <c r="F96" s="30"/>
      <c r="G96" s="29"/>
      <c r="H96" s="30"/>
      <c r="I96" s="30"/>
      <c r="J96" s="30"/>
      <c r="K96" s="29"/>
      <c r="L96" s="30"/>
    </row>
    <row r="97" customFormat="false" ht="16.4" hidden="false" customHeight="false" outlineLevel="0" collapsed="false">
      <c r="A97" s="31" t="n">
        <v>88</v>
      </c>
      <c r="B97" s="31" t="s">
        <v>214</v>
      </c>
      <c r="C97" s="32" t="s">
        <v>231</v>
      </c>
      <c r="D97" s="32" t="s">
        <v>233</v>
      </c>
      <c r="E97" s="31"/>
      <c r="F97" s="32"/>
      <c r="G97" s="31"/>
      <c r="H97" s="32"/>
      <c r="I97" s="32"/>
      <c r="J97" s="32"/>
      <c r="K97" s="31"/>
      <c r="L97" s="32"/>
    </row>
    <row r="98" customFormat="false" ht="16.4" hidden="false" customHeight="false" outlineLevel="0" collapsed="false">
      <c r="A98" s="29" t="n">
        <v>89</v>
      </c>
      <c r="B98" s="29" t="s">
        <v>214</v>
      </c>
      <c r="C98" s="30" t="s">
        <v>234</v>
      </c>
      <c r="D98" s="30" t="s">
        <v>235</v>
      </c>
      <c r="E98" s="29"/>
      <c r="F98" s="30"/>
      <c r="G98" s="29"/>
      <c r="H98" s="30"/>
      <c r="I98" s="30"/>
      <c r="J98" s="30"/>
      <c r="K98" s="29"/>
      <c r="L98" s="30"/>
    </row>
    <row r="99" customFormat="false" ht="16.4" hidden="false" customHeight="false" outlineLevel="0" collapsed="false">
      <c r="A99" s="31" t="n">
        <v>90</v>
      </c>
      <c r="B99" s="31" t="s">
        <v>214</v>
      </c>
      <c r="C99" s="32" t="s">
        <v>234</v>
      </c>
      <c r="D99" s="32" t="s">
        <v>236</v>
      </c>
      <c r="E99" s="31"/>
      <c r="F99" s="32"/>
      <c r="G99" s="31"/>
      <c r="H99" s="32"/>
      <c r="I99" s="32"/>
      <c r="J99" s="32"/>
      <c r="K99" s="31"/>
      <c r="L99" s="32"/>
    </row>
    <row r="100" customFormat="false" ht="16.4" hidden="false" customHeight="false" outlineLevel="0" collapsed="false">
      <c r="A100" s="29" t="n">
        <v>91</v>
      </c>
      <c r="B100" s="29" t="s">
        <v>214</v>
      </c>
      <c r="C100" s="30" t="s">
        <v>237</v>
      </c>
      <c r="D100" s="30" t="s">
        <v>238</v>
      </c>
      <c r="E100" s="29"/>
      <c r="F100" s="30"/>
      <c r="G100" s="29"/>
      <c r="H100" s="30"/>
      <c r="I100" s="30"/>
      <c r="J100" s="30"/>
      <c r="K100" s="29"/>
      <c r="L100" s="30"/>
    </row>
    <row r="101" customFormat="false" ht="16.4" hidden="false" customHeight="false" outlineLevel="0" collapsed="false">
      <c r="A101" s="31" t="n">
        <v>92</v>
      </c>
      <c r="B101" s="31" t="s">
        <v>214</v>
      </c>
      <c r="C101" s="32" t="s">
        <v>239</v>
      </c>
      <c r="D101" s="32" t="s">
        <v>240</v>
      </c>
      <c r="E101" s="31"/>
      <c r="F101" s="32"/>
      <c r="G101" s="31"/>
      <c r="H101" s="32"/>
      <c r="I101" s="32"/>
      <c r="J101" s="32"/>
      <c r="K101" s="31"/>
      <c r="L101" s="32"/>
    </row>
    <row r="102" customFormat="false" ht="16.4" hidden="false" customHeight="false" outlineLevel="0" collapsed="false">
      <c r="A102" s="29" t="n">
        <v>93</v>
      </c>
      <c r="B102" s="29" t="s">
        <v>214</v>
      </c>
      <c r="C102" s="30" t="s">
        <v>241</v>
      </c>
      <c r="D102" s="30" t="s">
        <v>242</v>
      </c>
      <c r="E102" s="29"/>
      <c r="F102" s="30"/>
      <c r="G102" s="29"/>
      <c r="H102" s="30"/>
      <c r="I102" s="30"/>
      <c r="J102" s="30"/>
      <c r="K102" s="29"/>
      <c r="L102" s="30"/>
    </row>
    <row r="103" customFormat="false" ht="16.4" hidden="false" customHeight="false" outlineLevel="0" collapsed="false">
      <c r="A103" s="31" t="n">
        <v>94</v>
      </c>
      <c r="B103" s="31" t="s">
        <v>214</v>
      </c>
      <c r="C103" s="32" t="s">
        <v>243</v>
      </c>
      <c r="D103" s="32" t="s">
        <v>244</v>
      </c>
      <c r="E103" s="31"/>
      <c r="F103" s="32"/>
      <c r="G103" s="31"/>
      <c r="H103" s="32"/>
      <c r="I103" s="32"/>
      <c r="J103" s="32"/>
      <c r="K103" s="31"/>
      <c r="L103" s="32"/>
    </row>
    <row r="104" customFormat="false" ht="21.75" hidden="false" customHeight="true" outlineLevel="0" collapsed="false">
      <c r="A104" s="26" t="s">
        <v>245</v>
      </c>
      <c r="B104" s="27" t="s">
        <v>246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</row>
    <row r="105" customFormat="false" ht="16.4" hidden="false" customHeight="false" outlineLevel="0" collapsed="false">
      <c r="A105" s="29" t="n">
        <v>95</v>
      </c>
      <c r="B105" s="29" t="s">
        <v>245</v>
      </c>
      <c r="C105" s="30" t="s">
        <v>247</v>
      </c>
      <c r="D105" s="30" t="s">
        <v>248</v>
      </c>
      <c r="E105" s="29"/>
      <c r="F105" s="30"/>
      <c r="G105" s="29"/>
      <c r="H105" s="30"/>
      <c r="I105" s="30"/>
      <c r="J105" s="30"/>
      <c r="K105" s="29"/>
      <c r="L105" s="30"/>
    </row>
    <row r="106" customFormat="false" ht="16.4" hidden="false" customHeight="false" outlineLevel="0" collapsed="false">
      <c r="A106" s="31" t="n">
        <v>96</v>
      </c>
      <c r="B106" s="31" t="s">
        <v>245</v>
      </c>
      <c r="C106" s="32" t="s">
        <v>249</v>
      </c>
      <c r="D106" s="32" t="s">
        <v>250</v>
      </c>
      <c r="E106" s="31"/>
      <c r="F106" s="32"/>
      <c r="G106" s="31"/>
      <c r="H106" s="32"/>
      <c r="I106" s="32"/>
      <c r="J106" s="32"/>
      <c r="K106" s="31"/>
      <c r="L106" s="32"/>
    </row>
    <row r="107" customFormat="false" ht="16.4" hidden="false" customHeight="false" outlineLevel="0" collapsed="false">
      <c r="A107" s="29" t="n">
        <v>97</v>
      </c>
      <c r="B107" s="29" t="s">
        <v>245</v>
      </c>
      <c r="C107" s="30" t="s">
        <v>251</v>
      </c>
      <c r="D107" s="30" t="s">
        <v>252</v>
      </c>
      <c r="E107" s="29"/>
      <c r="F107" s="30"/>
      <c r="G107" s="29"/>
      <c r="H107" s="30"/>
      <c r="I107" s="30"/>
      <c r="J107" s="30"/>
      <c r="K107" s="29"/>
      <c r="L107" s="30"/>
    </row>
    <row r="108" customFormat="false" ht="16.4" hidden="false" customHeight="false" outlineLevel="0" collapsed="false">
      <c r="A108" s="31" t="n">
        <v>98</v>
      </c>
      <c r="B108" s="31" t="s">
        <v>245</v>
      </c>
      <c r="C108" s="32" t="s">
        <v>253</v>
      </c>
      <c r="D108" s="32" t="s">
        <v>254</v>
      </c>
      <c r="E108" s="31"/>
      <c r="F108" s="32"/>
      <c r="G108" s="31"/>
      <c r="H108" s="32"/>
      <c r="I108" s="32"/>
      <c r="J108" s="32"/>
      <c r="K108" s="31"/>
      <c r="L108" s="32"/>
    </row>
    <row r="109" customFormat="false" ht="16.4" hidden="false" customHeight="false" outlineLevel="0" collapsed="false">
      <c r="A109" s="29" t="n">
        <v>99</v>
      </c>
      <c r="B109" s="29" t="s">
        <v>245</v>
      </c>
      <c r="C109" s="30" t="s">
        <v>255</v>
      </c>
      <c r="D109" s="30" t="s">
        <v>256</v>
      </c>
      <c r="E109" s="29"/>
      <c r="F109" s="30"/>
      <c r="G109" s="29"/>
      <c r="H109" s="30"/>
      <c r="I109" s="30"/>
      <c r="J109" s="30"/>
      <c r="K109" s="29"/>
      <c r="L109" s="30"/>
    </row>
    <row r="110" customFormat="false" ht="16.4" hidden="false" customHeight="false" outlineLevel="0" collapsed="false">
      <c r="A110" s="31" t="n">
        <v>100</v>
      </c>
      <c r="B110" s="31" t="s">
        <v>245</v>
      </c>
      <c r="C110" s="32" t="s">
        <v>257</v>
      </c>
      <c r="D110" s="32" t="s">
        <v>258</v>
      </c>
      <c r="E110" s="31"/>
      <c r="F110" s="32"/>
      <c r="G110" s="31"/>
      <c r="H110" s="32"/>
      <c r="I110" s="32"/>
      <c r="J110" s="32"/>
      <c r="K110" s="31"/>
      <c r="L110" s="32"/>
    </row>
    <row r="111" customFormat="false" ht="16.4" hidden="false" customHeight="false" outlineLevel="0" collapsed="false">
      <c r="A111" s="29" t="n">
        <v>101</v>
      </c>
      <c r="B111" s="29" t="s">
        <v>245</v>
      </c>
      <c r="C111" s="30" t="s">
        <v>259</v>
      </c>
      <c r="D111" s="30" t="s">
        <v>260</v>
      </c>
      <c r="E111" s="29"/>
      <c r="F111" s="30"/>
      <c r="G111" s="29"/>
      <c r="H111" s="30"/>
      <c r="I111" s="30"/>
      <c r="J111" s="30"/>
      <c r="K111" s="29"/>
      <c r="L111" s="30"/>
    </row>
    <row r="112" customFormat="false" ht="16.4" hidden="false" customHeight="false" outlineLevel="0" collapsed="false">
      <c r="A112" s="31" t="n">
        <v>102</v>
      </c>
      <c r="B112" s="31" t="s">
        <v>245</v>
      </c>
      <c r="C112" s="32" t="s">
        <v>259</v>
      </c>
      <c r="D112" s="32" t="s">
        <v>261</v>
      </c>
      <c r="E112" s="31"/>
      <c r="F112" s="32"/>
      <c r="G112" s="31"/>
      <c r="H112" s="32"/>
      <c r="I112" s="32"/>
      <c r="J112" s="32"/>
      <c r="K112" s="31"/>
      <c r="L112" s="32"/>
    </row>
    <row r="113" customFormat="false" ht="16.4" hidden="false" customHeight="false" outlineLevel="0" collapsed="false">
      <c r="A113" s="29" t="n">
        <v>103</v>
      </c>
      <c r="B113" s="29" t="s">
        <v>245</v>
      </c>
      <c r="C113" s="30" t="s">
        <v>262</v>
      </c>
      <c r="D113" s="30" t="s">
        <v>263</v>
      </c>
      <c r="E113" s="29"/>
      <c r="F113" s="30"/>
      <c r="G113" s="29"/>
      <c r="H113" s="30"/>
      <c r="I113" s="30"/>
      <c r="J113" s="30"/>
      <c r="K113" s="29"/>
      <c r="L113" s="30"/>
    </row>
    <row r="114" customFormat="false" ht="21.75" hidden="false" customHeight="true" outlineLevel="0" collapsed="false">
      <c r="A114" s="26" t="s">
        <v>264</v>
      </c>
      <c r="B114" s="27" t="s">
        <v>265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</row>
    <row r="115" customFormat="false" ht="16.4" hidden="false" customHeight="false" outlineLevel="0" collapsed="false">
      <c r="A115" s="31" t="n">
        <v>104</v>
      </c>
      <c r="B115" s="31" t="s">
        <v>264</v>
      </c>
      <c r="C115" s="32" t="s">
        <v>266</v>
      </c>
      <c r="D115" s="32" t="s">
        <v>267</v>
      </c>
      <c r="E115" s="31"/>
      <c r="F115" s="32"/>
      <c r="G115" s="31"/>
      <c r="H115" s="32"/>
      <c r="I115" s="32"/>
      <c r="J115" s="32"/>
      <c r="K115" s="31"/>
      <c r="L115" s="32"/>
    </row>
    <row r="116" customFormat="false" ht="16.4" hidden="false" customHeight="false" outlineLevel="0" collapsed="false">
      <c r="A116" s="29" t="n">
        <v>105</v>
      </c>
      <c r="B116" s="29" t="s">
        <v>264</v>
      </c>
      <c r="C116" s="30" t="s">
        <v>266</v>
      </c>
      <c r="D116" s="30" t="s">
        <v>268</v>
      </c>
      <c r="E116" s="29"/>
      <c r="F116" s="30"/>
      <c r="G116" s="29"/>
      <c r="H116" s="30"/>
      <c r="I116" s="30"/>
      <c r="J116" s="30"/>
      <c r="K116" s="29"/>
      <c r="L116" s="30"/>
    </row>
    <row r="117" customFormat="false" ht="16.4" hidden="false" customHeight="false" outlineLevel="0" collapsed="false">
      <c r="A117" s="31" t="n">
        <v>106</v>
      </c>
      <c r="B117" s="31" t="s">
        <v>264</v>
      </c>
      <c r="C117" s="32" t="s">
        <v>266</v>
      </c>
      <c r="D117" s="32" t="s">
        <v>203</v>
      </c>
      <c r="E117" s="31"/>
      <c r="F117" s="32"/>
      <c r="G117" s="31"/>
      <c r="H117" s="32"/>
      <c r="I117" s="32"/>
      <c r="J117" s="32"/>
      <c r="K117" s="31"/>
      <c r="L117" s="32"/>
    </row>
    <row r="118" customFormat="false" ht="16.4" hidden="false" customHeight="false" outlineLevel="0" collapsed="false">
      <c r="A118" s="29" t="n">
        <v>107</v>
      </c>
      <c r="B118" s="29" t="s">
        <v>264</v>
      </c>
      <c r="C118" s="30" t="s">
        <v>266</v>
      </c>
      <c r="D118" s="30" t="s">
        <v>269</v>
      </c>
      <c r="E118" s="29"/>
      <c r="F118" s="30"/>
      <c r="G118" s="29"/>
      <c r="H118" s="30"/>
      <c r="I118" s="30"/>
      <c r="J118" s="30"/>
      <c r="K118" s="29"/>
      <c r="L118" s="30"/>
    </row>
    <row r="119" customFormat="false" ht="16.4" hidden="false" customHeight="false" outlineLevel="0" collapsed="false">
      <c r="A119" s="31" t="n">
        <v>108</v>
      </c>
      <c r="B119" s="31" t="s">
        <v>264</v>
      </c>
      <c r="C119" s="32" t="s">
        <v>266</v>
      </c>
      <c r="D119" s="32" t="s">
        <v>270</v>
      </c>
      <c r="E119" s="31"/>
      <c r="F119" s="32"/>
      <c r="G119" s="31"/>
      <c r="H119" s="32"/>
      <c r="I119" s="32"/>
      <c r="J119" s="32"/>
      <c r="K119" s="31"/>
      <c r="L119" s="32"/>
    </row>
    <row r="120" customFormat="false" ht="16.4" hidden="false" customHeight="false" outlineLevel="0" collapsed="false">
      <c r="A120" s="29" t="n">
        <v>109</v>
      </c>
      <c r="B120" s="29" t="s">
        <v>264</v>
      </c>
      <c r="C120" s="30" t="s">
        <v>266</v>
      </c>
      <c r="D120" s="30" t="s">
        <v>271</v>
      </c>
      <c r="E120" s="29"/>
      <c r="F120" s="30"/>
      <c r="G120" s="29"/>
      <c r="H120" s="30"/>
      <c r="I120" s="30"/>
      <c r="J120" s="30"/>
      <c r="K120" s="29"/>
      <c r="L120" s="30"/>
    </row>
    <row r="121" customFormat="false" ht="16.4" hidden="false" customHeight="false" outlineLevel="0" collapsed="false">
      <c r="A121" s="31" t="n">
        <v>110</v>
      </c>
      <c r="B121" s="31" t="s">
        <v>264</v>
      </c>
      <c r="C121" s="32" t="s">
        <v>272</v>
      </c>
      <c r="D121" s="32" t="s">
        <v>273</v>
      </c>
      <c r="E121" s="31"/>
      <c r="F121" s="32"/>
      <c r="G121" s="31"/>
      <c r="H121" s="32"/>
      <c r="I121" s="32"/>
      <c r="J121" s="32"/>
      <c r="K121" s="31"/>
      <c r="L121" s="32"/>
    </row>
    <row r="122" customFormat="false" ht="31.3" hidden="false" customHeight="false" outlineLevel="0" collapsed="false">
      <c r="A122" s="29" t="n">
        <v>111</v>
      </c>
      <c r="B122" s="29" t="s">
        <v>264</v>
      </c>
      <c r="C122" s="30" t="s">
        <v>175</v>
      </c>
      <c r="D122" s="30" t="s">
        <v>274</v>
      </c>
      <c r="E122" s="29"/>
      <c r="F122" s="30"/>
      <c r="G122" s="29"/>
      <c r="H122" s="30"/>
      <c r="I122" s="30"/>
      <c r="J122" s="30"/>
      <c r="K122" s="29"/>
      <c r="L122" s="30"/>
    </row>
  </sheetData>
  <autoFilter ref="A3:L122"/>
  <mergeCells count="2">
    <mergeCell ref="A1:L1"/>
    <mergeCell ref="A2:L2"/>
  </mergeCells>
  <conditionalFormatting sqref="E4:E122 G4:G122">
    <cfRule type="cellIs" priority="2" operator="equal" aboveAverage="0" equalAverage="0" bottom="0" percent="0" rank="0" text="" dxfId="6">
      <formula>"完全支持"</formula>
    </cfRule>
    <cfRule type="cellIs" priority="3" operator="equal" aboveAverage="0" equalAverage="0" bottom="0" percent="0" rank="0" text="" dxfId="7">
      <formula>"部分支持"</formula>
    </cfRule>
    <cfRule type="cellIs" priority="4" operator="equal" aboveAverage="0" equalAverage="0" bottom="0" percent="0" rank="0" text="" dxfId="8">
      <formula>"需订阅/授权"</formula>
    </cfRule>
    <cfRule type="cellIs" priority="5" operator="equal" aboveAverage="0" equalAverage="0" bottom="0" percent="0" rank="0" text="" dxfId="9">
      <formula>"不支持"</formula>
    </cfRule>
    <cfRule type="cellIs" priority="6" operator="equal" aboveAverage="0" equalAverage="0" bottom="0" percent="0" rank="0" text="" dxfId="10">
      <formula>"待验证"</formula>
    </cfRule>
  </conditionalFormatting>
  <dataValidations count="1">
    <dataValidation allowBlank="true" error="请从下拉列表中选择支持度级别" errorStyle="stop" errorTitle="无效输入" operator="between" showDropDown="false" showErrorMessage="false" showInputMessage="false" sqref="E4:E122 G4:G122" type="list">
      <formula1>"完全支持,部分支持,需订阅/授权,不支持,待验证"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A13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12.74"/>
    <col collapsed="false" customWidth="true" hidden="false" outlineLevel="0" max="3" min="3" style="0" width="27.3"/>
    <col collapsed="false" customWidth="true" hidden="false" outlineLevel="0" max="4" min="4" style="0" width="29.11"/>
    <col collapsed="false" customWidth="true" hidden="false" outlineLevel="0" max="5" min="5" style="0" width="14.56"/>
    <col collapsed="false" customWidth="true" hidden="false" outlineLevel="0" max="6" min="6" style="0" width="9.1"/>
    <col collapsed="false" customWidth="true" hidden="false" outlineLevel="0" max="7" min="7" style="0" width="29.11"/>
  </cols>
  <sheetData>
    <row r="1" customFormat="false" ht="27.75" hidden="false" customHeight="true" outlineLevel="0" collapsed="false">
      <c r="A1" s="33" t="s">
        <v>275</v>
      </c>
      <c r="B1" s="33"/>
      <c r="C1" s="33"/>
      <c r="D1" s="33"/>
      <c r="E1" s="33"/>
      <c r="F1" s="33"/>
      <c r="G1" s="33"/>
    </row>
    <row r="3" customFormat="false" ht="27.75" hidden="false" customHeight="true" outlineLevel="0" collapsed="false">
      <c r="A3" s="4" t="s">
        <v>276</v>
      </c>
      <c r="B3" s="4" t="s">
        <v>277</v>
      </c>
      <c r="C3" s="4" t="s">
        <v>80</v>
      </c>
      <c r="D3" s="4" t="s">
        <v>278</v>
      </c>
      <c r="E3" s="4" t="s">
        <v>279</v>
      </c>
      <c r="F3" s="4" t="s">
        <v>280</v>
      </c>
      <c r="G3" s="4" t="s">
        <v>281</v>
      </c>
    </row>
    <row r="4" customFormat="false" ht="15" hidden="false" customHeight="false" outlineLevel="0" collapsed="false">
      <c r="A4" s="34" t="n">
        <v>1</v>
      </c>
      <c r="B4" s="34"/>
      <c r="C4" s="34"/>
      <c r="D4" s="34"/>
      <c r="E4" s="34"/>
      <c r="F4" s="34"/>
      <c r="G4" s="34"/>
    </row>
    <row r="5" customFormat="false" ht="15" hidden="false" customHeight="false" outlineLevel="0" collapsed="false">
      <c r="A5" s="35" t="n">
        <v>2</v>
      </c>
      <c r="B5" s="35"/>
      <c r="C5" s="35"/>
      <c r="D5" s="35"/>
      <c r="E5" s="35"/>
      <c r="F5" s="35"/>
      <c r="G5" s="35"/>
    </row>
    <row r="6" customFormat="false" ht="15" hidden="false" customHeight="false" outlineLevel="0" collapsed="false">
      <c r="A6" s="34" t="n">
        <v>3</v>
      </c>
      <c r="B6" s="34"/>
      <c r="C6" s="34"/>
      <c r="D6" s="34"/>
      <c r="E6" s="34"/>
      <c r="F6" s="34"/>
      <c r="G6" s="34"/>
    </row>
    <row r="7" customFormat="false" ht="15" hidden="false" customHeight="false" outlineLevel="0" collapsed="false">
      <c r="A7" s="35" t="n">
        <v>4</v>
      </c>
      <c r="B7" s="35"/>
      <c r="C7" s="35"/>
      <c r="D7" s="35"/>
      <c r="E7" s="35"/>
      <c r="F7" s="35"/>
      <c r="G7" s="35"/>
    </row>
    <row r="8" customFormat="false" ht="15" hidden="false" customHeight="false" outlineLevel="0" collapsed="false">
      <c r="A8" s="34" t="n">
        <v>5</v>
      </c>
      <c r="B8" s="34"/>
      <c r="C8" s="34"/>
      <c r="D8" s="34"/>
      <c r="E8" s="34"/>
      <c r="F8" s="34"/>
      <c r="G8" s="34"/>
    </row>
    <row r="9" customFormat="false" ht="15" hidden="false" customHeight="false" outlineLevel="0" collapsed="false">
      <c r="A9" s="35" t="n">
        <v>6</v>
      </c>
      <c r="B9" s="35"/>
      <c r="C9" s="35"/>
      <c r="D9" s="35"/>
      <c r="E9" s="35"/>
      <c r="F9" s="35"/>
      <c r="G9" s="35"/>
    </row>
    <row r="10" customFormat="false" ht="15" hidden="false" customHeight="false" outlineLevel="0" collapsed="false">
      <c r="A10" s="34" t="n">
        <v>7</v>
      </c>
      <c r="B10" s="34"/>
      <c r="C10" s="34"/>
      <c r="D10" s="34"/>
      <c r="E10" s="34"/>
      <c r="F10" s="34"/>
      <c r="G10" s="34"/>
    </row>
    <row r="11" customFormat="false" ht="15" hidden="false" customHeight="false" outlineLevel="0" collapsed="false">
      <c r="A11" s="35" t="n">
        <v>8</v>
      </c>
      <c r="B11" s="35"/>
      <c r="C11" s="35"/>
      <c r="D11" s="35"/>
      <c r="E11" s="35"/>
      <c r="F11" s="35"/>
      <c r="G11" s="35"/>
    </row>
    <row r="12" customFormat="false" ht="15" hidden="false" customHeight="false" outlineLevel="0" collapsed="false">
      <c r="A12" s="34" t="n">
        <v>9</v>
      </c>
      <c r="B12" s="34"/>
      <c r="C12" s="34"/>
      <c r="D12" s="34"/>
      <c r="E12" s="34"/>
      <c r="F12" s="34"/>
      <c r="G12" s="34"/>
    </row>
    <row r="13" customFormat="false" ht="15" hidden="false" customHeight="false" outlineLevel="0" collapsed="false">
      <c r="A13" s="35" t="n">
        <v>10</v>
      </c>
      <c r="B13" s="35"/>
      <c r="C13" s="35"/>
      <c r="D13" s="35"/>
      <c r="E13" s="35"/>
      <c r="F13" s="35"/>
      <c r="G13" s="35"/>
    </row>
    <row r="14" customFormat="false" ht="15" hidden="false" customHeight="false" outlineLevel="0" collapsed="false">
      <c r="A14" s="34" t="n">
        <v>11</v>
      </c>
      <c r="B14" s="34"/>
      <c r="C14" s="34"/>
      <c r="D14" s="34"/>
      <c r="E14" s="34"/>
      <c r="F14" s="34"/>
      <c r="G14" s="34"/>
    </row>
    <row r="15" customFormat="false" ht="15" hidden="false" customHeight="false" outlineLevel="0" collapsed="false">
      <c r="A15" s="35" t="n">
        <v>12</v>
      </c>
      <c r="B15" s="35"/>
      <c r="C15" s="35"/>
      <c r="D15" s="35"/>
      <c r="E15" s="35"/>
      <c r="F15" s="35"/>
      <c r="G15" s="35"/>
    </row>
    <row r="16" customFormat="false" ht="15" hidden="false" customHeight="false" outlineLevel="0" collapsed="false">
      <c r="A16" s="34" t="n">
        <v>13</v>
      </c>
      <c r="B16" s="34"/>
      <c r="C16" s="34"/>
      <c r="D16" s="34"/>
      <c r="E16" s="34"/>
      <c r="F16" s="34"/>
      <c r="G16" s="34"/>
    </row>
    <row r="17" customFormat="false" ht="15" hidden="false" customHeight="false" outlineLevel="0" collapsed="false">
      <c r="A17" s="35" t="n">
        <v>14</v>
      </c>
      <c r="B17" s="35"/>
      <c r="C17" s="35"/>
      <c r="D17" s="35"/>
      <c r="E17" s="35"/>
      <c r="F17" s="35"/>
      <c r="G17" s="35"/>
    </row>
    <row r="18" customFormat="false" ht="15" hidden="false" customHeight="false" outlineLevel="0" collapsed="false">
      <c r="A18" s="34" t="n">
        <v>15</v>
      </c>
      <c r="B18" s="34"/>
      <c r="C18" s="34"/>
      <c r="D18" s="34"/>
      <c r="E18" s="34"/>
      <c r="F18" s="34"/>
      <c r="G18" s="34"/>
    </row>
    <row r="19" customFormat="false" ht="15" hidden="false" customHeight="false" outlineLevel="0" collapsed="false">
      <c r="A19" s="35" t="n">
        <v>16</v>
      </c>
      <c r="B19" s="35"/>
      <c r="C19" s="35"/>
      <c r="D19" s="35"/>
      <c r="E19" s="35"/>
      <c r="F19" s="35"/>
      <c r="G19" s="35"/>
    </row>
    <row r="20" customFormat="false" ht="15" hidden="false" customHeight="false" outlineLevel="0" collapsed="false">
      <c r="A20" s="34" t="n">
        <v>17</v>
      </c>
      <c r="B20" s="34"/>
      <c r="C20" s="34"/>
      <c r="D20" s="34"/>
      <c r="E20" s="34"/>
      <c r="F20" s="34"/>
      <c r="G20" s="34"/>
    </row>
    <row r="21" customFormat="false" ht="15" hidden="false" customHeight="false" outlineLevel="0" collapsed="false">
      <c r="A21" s="35" t="n">
        <v>18</v>
      </c>
      <c r="B21" s="35"/>
      <c r="C21" s="35"/>
      <c r="D21" s="35"/>
      <c r="E21" s="35"/>
      <c r="F21" s="35"/>
      <c r="G21" s="35"/>
    </row>
    <row r="22" customFormat="false" ht="15" hidden="false" customHeight="false" outlineLevel="0" collapsed="false">
      <c r="A22" s="34" t="n">
        <v>19</v>
      </c>
      <c r="B22" s="34"/>
      <c r="C22" s="34"/>
      <c r="D22" s="34"/>
      <c r="E22" s="34"/>
      <c r="F22" s="34"/>
      <c r="G22" s="34"/>
    </row>
    <row r="23" customFormat="false" ht="15" hidden="false" customHeight="false" outlineLevel="0" collapsed="false">
      <c r="A23" s="35" t="n">
        <v>20</v>
      </c>
      <c r="B23" s="35"/>
      <c r="C23" s="35"/>
      <c r="D23" s="35"/>
      <c r="E23" s="35"/>
      <c r="F23" s="35"/>
      <c r="G23" s="35"/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E4:E23" type="list">
      <formula1>"手册回查,功能验证 T1,功能验证 T2,功能验证 T3,功能验证 T4,功能验证 T5,功能验证 T6,功能验证 T7,功能验证 T8,咨询原厂"</formula1>
      <formula2>0</formula2>
    </dataValidation>
    <dataValidation allowBlank="true" errorStyle="stop" operator="between" showDropDown="false" showErrorMessage="false" showInputMessage="false" sqref="F4:F23" type="list">
      <formula1>"待处理,进行中,已闭环,豁免"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A0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12.74"/>
    <col collapsed="false" customWidth="true" hidden="false" outlineLevel="0" max="4" min="4" style="0" width="18.2"/>
    <col collapsed="false" customWidth="true" hidden="false" outlineLevel="0" max="5" min="5" style="0" width="9.1"/>
    <col collapsed="false" customWidth="true" hidden="false" outlineLevel="0" max="6" min="6" style="0" width="10.92"/>
    <col collapsed="false" customWidth="true" hidden="false" outlineLevel="0" max="7" min="7" style="0" width="23.66"/>
    <col collapsed="false" customWidth="true" hidden="false" outlineLevel="0" max="9" min="8" style="0" width="10.92"/>
  </cols>
  <sheetData>
    <row r="1" customFormat="false" ht="27.75" hidden="false" customHeight="true" outlineLevel="0" collapsed="false">
      <c r="A1" s="33" t="s">
        <v>282</v>
      </c>
      <c r="B1" s="33"/>
      <c r="C1" s="33"/>
      <c r="D1" s="33"/>
      <c r="E1" s="33"/>
      <c r="F1" s="33"/>
      <c r="G1" s="33"/>
      <c r="H1" s="33"/>
      <c r="I1" s="33"/>
    </row>
    <row r="3" customFormat="false" ht="27.75" hidden="false" customHeight="true" outlineLevel="0" collapsed="false">
      <c r="A3" s="4" t="s">
        <v>276</v>
      </c>
      <c r="B3" s="4" t="s">
        <v>283</v>
      </c>
      <c r="C3" s="4" t="s">
        <v>284</v>
      </c>
      <c r="D3" s="4" t="s">
        <v>285</v>
      </c>
      <c r="E3" s="4" t="s">
        <v>286</v>
      </c>
      <c r="F3" s="4" t="s">
        <v>287</v>
      </c>
      <c r="G3" s="4" t="s">
        <v>288</v>
      </c>
      <c r="H3" s="4" t="s">
        <v>289</v>
      </c>
      <c r="I3" s="4" t="s">
        <v>290</v>
      </c>
    </row>
    <row r="4" customFormat="false" ht="15" hidden="false" customHeight="false" outlineLevel="0" collapsed="false">
      <c r="A4" s="34" t="n">
        <v>1</v>
      </c>
      <c r="B4" s="34"/>
      <c r="C4" s="34"/>
      <c r="D4" s="34"/>
      <c r="E4" s="34"/>
      <c r="F4" s="34"/>
      <c r="G4" s="34"/>
      <c r="H4" s="34"/>
      <c r="I4" s="34"/>
    </row>
    <row r="5" customFormat="false" ht="15" hidden="false" customHeight="false" outlineLevel="0" collapsed="false">
      <c r="A5" s="35" t="n">
        <v>2</v>
      </c>
      <c r="B5" s="35"/>
      <c r="C5" s="35"/>
      <c r="D5" s="35"/>
      <c r="E5" s="35"/>
      <c r="F5" s="35"/>
      <c r="G5" s="35"/>
      <c r="H5" s="35"/>
      <c r="I5" s="35"/>
    </row>
    <row r="6" customFormat="false" ht="15" hidden="false" customHeight="false" outlineLevel="0" collapsed="false">
      <c r="A6" s="34" t="n">
        <v>3</v>
      </c>
      <c r="B6" s="34"/>
      <c r="C6" s="34"/>
      <c r="D6" s="34"/>
      <c r="E6" s="34"/>
      <c r="F6" s="34"/>
      <c r="G6" s="34"/>
      <c r="H6" s="34"/>
      <c r="I6" s="34"/>
    </row>
    <row r="7" customFormat="false" ht="15" hidden="false" customHeight="false" outlineLevel="0" collapsed="false">
      <c r="A7" s="35" t="n">
        <v>4</v>
      </c>
      <c r="B7" s="35"/>
      <c r="C7" s="35"/>
      <c r="D7" s="35"/>
      <c r="E7" s="35"/>
      <c r="F7" s="35"/>
      <c r="G7" s="35"/>
      <c r="H7" s="35"/>
      <c r="I7" s="35"/>
    </row>
    <row r="8" customFormat="false" ht="15" hidden="false" customHeight="false" outlineLevel="0" collapsed="false">
      <c r="A8" s="34" t="n">
        <v>5</v>
      </c>
      <c r="B8" s="34"/>
      <c r="C8" s="34"/>
      <c r="D8" s="34"/>
      <c r="E8" s="34"/>
      <c r="F8" s="34"/>
      <c r="G8" s="34"/>
      <c r="H8" s="34"/>
      <c r="I8" s="34"/>
    </row>
    <row r="9" customFormat="false" ht="15" hidden="false" customHeight="false" outlineLevel="0" collapsed="false">
      <c r="A9" s="35" t="n">
        <v>6</v>
      </c>
      <c r="B9" s="35"/>
      <c r="C9" s="35"/>
      <c r="D9" s="35"/>
      <c r="E9" s="35"/>
      <c r="F9" s="35"/>
      <c r="G9" s="35"/>
      <c r="H9" s="35"/>
      <c r="I9" s="35"/>
    </row>
    <row r="10" customFormat="false" ht="15" hidden="false" customHeight="false" outlineLevel="0" collapsed="false">
      <c r="A10" s="34" t="n">
        <v>7</v>
      </c>
      <c r="B10" s="34"/>
      <c r="C10" s="34"/>
      <c r="D10" s="34"/>
      <c r="E10" s="34"/>
      <c r="F10" s="34"/>
      <c r="G10" s="34"/>
      <c r="H10" s="34"/>
      <c r="I10" s="34"/>
    </row>
    <row r="11" customFormat="false" ht="15" hidden="false" customHeight="false" outlineLevel="0" collapsed="false">
      <c r="A11" s="35" t="n">
        <v>8</v>
      </c>
      <c r="B11" s="35"/>
      <c r="C11" s="35"/>
      <c r="D11" s="35"/>
      <c r="E11" s="35"/>
      <c r="F11" s="35"/>
      <c r="G11" s="35"/>
      <c r="H11" s="35"/>
      <c r="I11" s="35"/>
    </row>
    <row r="12" customFormat="false" ht="15" hidden="false" customHeight="false" outlineLevel="0" collapsed="false">
      <c r="A12" s="34" t="n">
        <v>9</v>
      </c>
      <c r="B12" s="34"/>
      <c r="C12" s="34"/>
      <c r="D12" s="34"/>
      <c r="E12" s="34"/>
      <c r="F12" s="34"/>
      <c r="G12" s="34"/>
      <c r="H12" s="34"/>
      <c r="I12" s="34"/>
    </row>
    <row r="13" customFormat="false" ht="15" hidden="false" customHeight="false" outlineLevel="0" collapsed="false">
      <c r="A13" s="35" t="n">
        <v>10</v>
      </c>
      <c r="B13" s="35"/>
      <c r="C13" s="35"/>
      <c r="D13" s="35"/>
      <c r="E13" s="35"/>
      <c r="F13" s="35"/>
      <c r="G13" s="35"/>
      <c r="H13" s="35"/>
      <c r="I13" s="35"/>
    </row>
    <row r="14" customFormat="false" ht="15" hidden="false" customHeight="false" outlineLevel="0" collapsed="false">
      <c r="A14" s="34" t="n">
        <v>11</v>
      </c>
      <c r="B14" s="34"/>
      <c r="C14" s="34"/>
      <c r="D14" s="34"/>
      <c r="E14" s="34"/>
      <c r="F14" s="34"/>
      <c r="G14" s="34"/>
      <c r="H14" s="34"/>
      <c r="I14" s="34"/>
    </row>
    <row r="15" customFormat="false" ht="15" hidden="false" customHeight="false" outlineLevel="0" collapsed="false">
      <c r="A15" s="35" t="n">
        <v>12</v>
      </c>
      <c r="B15" s="35"/>
      <c r="C15" s="35"/>
      <c r="D15" s="35"/>
      <c r="E15" s="35"/>
      <c r="F15" s="35"/>
      <c r="G15" s="35"/>
      <c r="H15" s="35"/>
      <c r="I15" s="35"/>
    </row>
    <row r="16" customFormat="false" ht="15" hidden="false" customHeight="false" outlineLevel="0" collapsed="false">
      <c r="A16" s="34" t="n">
        <v>13</v>
      </c>
      <c r="B16" s="34"/>
      <c r="C16" s="34"/>
      <c r="D16" s="34"/>
      <c r="E16" s="34"/>
      <c r="F16" s="34"/>
      <c r="G16" s="34"/>
      <c r="H16" s="34"/>
      <c r="I16" s="34"/>
    </row>
    <row r="17" customFormat="false" ht="15" hidden="false" customHeight="false" outlineLevel="0" collapsed="false">
      <c r="A17" s="35" t="n">
        <v>14</v>
      </c>
      <c r="B17" s="35"/>
      <c r="C17" s="35"/>
      <c r="D17" s="35"/>
      <c r="E17" s="35"/>
      <c r="F17" s="35"/>
      <c r="G17" s="35"/>
      <c r="H17" s="35"/>
      <c r="I17" s="35"/>
    </row>
    <row r="18" customFormat="false" ht="15" hidden="false" customHeight="false" outlineLevel="0" collapsed="false">
      <c r="A18" s="34" t="n">
        <v>15</v>
      </c>
      <c r="B18" s="34"/>
      <c r="C18" s="34"/>
      <c r="D18" s="34"/>
      <c r="E18" s="34"/>
      <c r="F18" s="34"/>
      <c r="G18" s="34"/>
      <c r="H18" s="34"/>
      <c r="I18" s="34"/>
    </row>
    <row r="19" customFormat="false" ht="15" hidden="false" customHeight="false" outlineLevel="0" collapsed="false">
      <c r="A19" s="35" t="n">
        <v>16</v>
      </c>
      <c r="B19" s="35"/>
      <c r="C19" s="35"/>
      <c r="D19" s="35"/>
      <c r="E19" s="35"/>
      <c r="F19" s="35"/>
      <c r="G19" s="35"/>
      <c r="H19" s="35"/>
      <c r="I19" s="35"/>
    </row>
    <row r="20" customFormat="false" ht="15" hidden="false" customHeight="false" outlineLevel="0" collapsed="false">
      <c r="A20" s="34" t="n">
        <v>17</v>
      </c>
      <c r="B20" s="34"/>
      <c r="C20" s="34"/>
      <c r="D20" s="34"/>
      <c r="E20" s="34"/>
      <c r="F20" s="34"/>
      <c r="G20" s="34"/>
      <c r="H20" s="34"/>
      <c r="I20" s="34"/>
    </row>
    <row r="21" customFormat="false" ht="15" hidden="false" customHeight="false" outlineLevel="0" collapsed="false">
      <c r="A21" s="35" t="n">
        <v>18</v>
      </c>
      <c r="B21" s="35"/>
      <c r="C21" s="35"/>
      <c r="D21" s="35"/>
      <c r="E21" s="35"/>
      <c r="F21" s="35"/>
      <c r="G21" s="35"/>
      <c r="H21" s="35"/>
      <c r="I21" s="35"/>
    </row>
    <row r="22" customFormat="false" ht="15" hidden="false" customHeight="false" outlineLevel="0" collapsed="false">
      <c r="A22" s="34" t="n">
        <v>19</v>
      </c>
      <c r="B22" s="34"/>
      <c r="C22" s="34"/>
      <c r="D22" s="34"/>
      <c r="E22" s="34"/>
      <c r="F22" s="34"/>
      <c r="G22" s="34"/>
      <c r="H22" s="34"/>
      <c r="I22" s="34"/>
    </row>
    <row r="23" customFormat="false" ht="15" hidden="false" customHeight="false" outlineLevel="0" collapsed="false">
      <c r="A23" s="35" t="n">
        <v>20</v>
      </c>
      <c r="B23" s="35"/>
      <c r="C23" s="35"/>
      <c r="D23" s="35"/>
      <c r="E23" s="35"/>
      <c r="F23" s="35"/>
      <c r="G23" s="35"/>
      <c r="H23" s="35"/>
      <c r="I23" s="35"/>
    </row>
    <row r="24" customFormat="false" ht="15" hidden="false" customHeight="false" outlineLevel="0" collapsed="false">
      <c r="A24" s="34" t="n">
        <v>21</v>
      </c>
      <c r="B24" s="34"/>
      <c r="C24" s="34"/>
      <c r="D24" s="34"/>
      <c r="E24" s="34"/>
      <c r="F24" s="34"/>
      <c r="G24" s="34"/>
      <c r="H24" s="34"/>
      <c r="I24" s="34"/>
    </row>
    <row r="25" customFormat="false" ht="15" hidden="false" customHeight="false" outlineLevel="0" collapsed="false">
      <c r="A25" s="35" t="n">
        <v>22</v>
      </c>
      <c r="B25" s="35"/>
      <c r="C25" s="35"/>
      <c r="D25" s="35"/>
      <c r="E25" s="35"/>
      <c r="F25" s="35"/>
      <c r="G25" s="35"/>
      <c r="H25" s="35"/>
      <c r="I25" s="35"/>
    </row>
    <row r="26" customFormat="false" ht="15" hidden="false" customHeight="false" outlineLevel="0" collapsed="false">
      <c r="A26" s="34" t="n">
        <v>23</v>
      </c>
      <c r="B26" s="34"/>
      <c r="C26" s="34"/>
      <c r="D26" s="34"/>
      <c r="E26" s="34"/>
      <c r="F26" s="34"/>
      <c r="G26" s="34"/>
      <c r="H26" s="34"/>
      <c r="I26" s="34"/>
    </row>
    <row r="27" customFormat="false" ht="15" hidden="false" customHeight="false" outlineLevel="0" collapsed="false">
      <c r="A27" s="35" t="n">
        <v>24</v>
      </c>
      <c r="B27" s="35"/>
      <c r="C27" s="35"/>
      <c r="D27" s="35"/>
      <c r="E27" s="35"/>
      <c r="F27" s="35"/>
      <c r="G27" s="35"/>
      <c r="H27" s="35"/>
      <c r="I27" s="35"/>
    </row>
    <row r="28" customFormat="false" ht="15" hidden="false" customHeight="false" outlineLevel="0" collapsed="false">
      <c r="A28" s="34" t="n">
        <v>25</v>
      </c>
      <c r="B28" s="34"/>
      <c r="C28" s="34"/>
      <c r="D28" s="34"/>
      <c r="E28" s="34"/>
      <c r="F28" s="34"/>
      <c r="G28" s="34"/>
      <c r="H28" s="34"/>
      <c r="I28" s="34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C4:C28" type="list">
      <formula1>"天融信,Palo Alto,第三方"</formula1>
      <formula2>0</formula2>
    </dataValidation>
    <dataValidation allowBlank="true" errorStyle="stop" operator="between" showDropDown="false" showErrorMessage="false" showInputMessage="false" sqref="D4:D28" type="list">
      <formula1>"Datasheet,技术白皮书,配置手册/管理员指南,硬件参考,Release Notes,认证证书,分析师报告,其他"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2026-08-14T19:17:26Z</dcterms:created>
  <dc:creator>openpyxl</dc:creator>
  <dc:description/>
  <dc:language>zh-CN</dc:language>
  <cp:lastModifiedBy/>
  <dcterms:modified xsi:type="dcterms:W3CDTF">2026-08-14T19:17:26Z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